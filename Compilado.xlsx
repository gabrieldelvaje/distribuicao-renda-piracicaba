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ielde\OneDrive\Área de Trabalho\GABRIEL\ESTUDO\"/>
    </mc:Choice>
  </mc:AlternateContent>
  <xr:revisionPtr revIDLastSave="0" documentId="13_ncr:1_{E155DD5C-3899-4C66-93C7-904696C5C05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enso_2022" sheetId="1" r:id="rId1"/>
    <sheet name="Leg_2022" sheetId="2" r:id="rId2"/>
    <sheet name="Censo_2010" sheetId="3" r:id="rId3"/>
    <sheet name="2010_consolidado" sheetId="7" r:id="rId4"/>
    <sheet name="Leg_2010" sheetId="4" r:id="rId5"/>
    <sheet name="Censo_2000" sheetId="5" r:id="rId6"/>
    <sheet name="Compilado" sheetId="6" r:id="rId7"/>
  </sheets>
  <definedNames>
    <definedName name="_xlnm._FilterDatabase" localSheetId="3" hidden="1">'2010_consolidado'!$A$1:$D$64</definedName>
    <definedName name="_xlnm._FilterDatabase" localSheetId="5" hidden="1">Censo_2000!$A$4:$M$66</definedName>
    <definedName name="_xlnm._FilterDatabase" localSheetId="2" hidden="1">Censo_2010!$A$2:$T$659</definedName>
    <definedName name="_xlnm._FilterDatabase" localSheetId="0" hidden="1">Censo_2022!$A$2:$I$69</definedName>
    <definedName name="_xlnm._FilterDatabase" localSheetId="6" hidden="1">Compilado!$A$1:$F$1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C12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B28" i="6"/>
  <c r="C28" i="6"/>
  <c r="D28" i="6"/>
  <c r="D29" i="6"/>
  <c r="B30" i="6"/>
  <c r="C30" i="6"/>
  <c r="D30" i="6"/>
  <c r="D31" i="6"/>
  <c r="D32" i="6"/>
  <c r="B33" i="6"/>
  <c r="D33" i="6"/>
  <c r="D34" i="6"/>
  <c r="D35" i="6"/>
  <c r="D36" i="6"/>
  <c r="D37" i="6"/>
  <c r="D38" i="6"/>
  <c r="D39" i="6"/>
  <c r="D40" i="6"/>
  <c r="D41" i="6"/>
  <c r="B42" i="6"/>
  <c r="C42" i="6"/>
  <c r="D42" i="6"/>
  <c r="D43" i="6"/>
  <c r="D44" i="6"/>
  <c r="D45" i="6"/>
  <c r="D46" i="6"/>
  <c r="D47" i="6"/>
  <c r="D48" i="6"/>
  <c r="D49" i="6"/>
  <c r="D50" i="6"/>
  <c r="D51" i="6"/>
  <c r="D52" i="6"/>
  <c r="D53" i="6"/>
  <c r="B54" i="6"/>
  <c r="C54" i="6"/>
  <c r="D54" i="6"/>
  <c r="F54" i="6" s="1"/>
  <c r="D55" i="6"/>
  <c r="D56" i="6"/>
  <c r="D57" i="6"/>
  <c r="D58" i="6"/>
  <c r="B59" i="6"/>
  <c r="C59" i="6"/>
  <c r="D59" i="6"/>
  <c r="D60" i="6"/>
  <c r="D61" i="6"/>
  <c r="D62" i="6"/>
  <c r="D63" i="6"/>
  <c r="D64" i="6"/>
  <c r="D65" i="6"/>
  <c r="D66" i="6"/>
  <c r="D67" i="6"/>
  <c r="B68" i="6"/>
  <c r="C68" i="6"/>
  <c r="D68" i="6"/>
  <c r="D2" i="6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2" i="7"/>
  <c r="L9" i="5"/>
  <c r="L8" i="5"/>
  <c r="L17" i="5"/>
  <c r="L6" i="5"/>
  <c r="L16" i="5"/>
  <c r="L13" i="5"/>
  <c r="L11" i="5"/>
  <c r="L35" i="5"/>
  <c r="L14" i="5"/>
  <c r="L26" i="5"/>
  <c r="L50" i="5"/>
  <c r="L56" i="5"/>
  <c r="L25" i="5"/>
  <c r="L10" i="5"/>
  <c r="L52" i="5"/>
  <c r="L32" i="5"/>
  <c r="L28" i="5"/>
  <c r="L30" i="5"/>
  <c r="L57" i="5"/>
  <c r="L12" i="5"/>
  <c r="L51" i="5"/>
  <c r="L34" i="5"/>
  <c r="L18" i="5"/>
  <c r="L23" i="5"/>
  <c r="L15" i="5"/>
  <c r="L29" i="5"/>
  <c r="M29" i="5" s="1"/>
  <c r="L49" i="5"/>
  <c r="L38" i="5"/>
  <c r="L54" i="5"/>
  <c r="L63" i="5"/>
  <c r="L42" i="5"/>
  <c r="L55" i="5"/>
  <c r="L48" i="5"/>
  <c r="L47" i="5"/>
  <c r="L53" i="5"/>
  <c r="L43" i="5"/>
  <c r="L36" i="5"/>
  <c r="L60" i="5"/>
  <c r="L21" i="5"/>
  <c r="L24" i="5"/>
  <c r="L59" i="5"/>
  <c r="L58" i="5"/>
  <c r="L41" i="5"/>
  <c r="L61" i="5"/>
  <c r="L31" i="5"/>
  <c r="L65" i="5"/>
  <c r="L39" i="5"/>
  <c r="L45" i="5"/>
  <c r="L66" i="5"/>
  <c r="L62" i="5"/>
  <c r="L44" i="5"/>
  <c r="L19" i="5"/>
  <c r="L40" i="5"/>
  <c r="L22" i="5"/>
  <c r="L37" i="5"/>
  <c r="L27" i="5"/>
  <c r="M27" i="5" s="1"/>
  <c r="L7" i="5"/>
  <c r="L64" i="5"/>
  <c r="L20" i="5"/>
  <c r="L33" i="5"/>
  <c r="L46" i="5"/>
  <c r="L5" i="5"/>
  <c r="K3" i="5"/>
  <c r="S3" i="3"/>
  <c r="S5" i="3"/>
  <c r="S15" i="3"/>
  <c r="T15" i="3" s="1"/>
  <c r="S12" i="3"/>
  <c r="S14" i="3"/>
  <c r="S25" i="3"/>
  <c r="T25" i="3" s="1"/>
  <c r="S21" i="3"/>
  <c r="T21" i="3" s="1"/>
  <c r="S20" i="3"/>
  <c r="S22" i="3"/>
  <c r="T22" i="3" s="1"/>
  <c r="S103" i="3"/>
  <c r="T103" i="3" s="1"/>
  <c r="S19" i="3"/>
  <c r="T19" i="3" s="1"/>
  <c r="S23" i="3"/>
  <c r="T23" i="3" s="1"/>
  <c r="S35" i="3"/>
  <c r="T35" i="3" s="1"/>
  <c r="S66" i="3"/>
  <c r="T66" i="3" s="1"/>
  <c r="S33" i="3"/>
  <c r="S26" i="3"/>
  <c r="T26" i="3" s="1"/>
  <c r="S51" i="3"/>
  <c r="S36" i="3"/>
  <c r="T36" i="3" s="1"/>
  <c r="S24" i="3"/>
  <c r="T24" i="3" s="1"/>
  <c r="S13" i="3"/>
  <c r="S54" i="3"/>
  <c r="T54" i="3" s="1"/>
  <c r="S49" i="3"/>
  <c r="T49" i="3" s="1"/>
  <c r="S52" i="3"/>
  <c r="S29" i="3"/>
  <c r="T29" i="3" s="1"/>
  <c r="S57" i="3"/>
  <c r="T57" i="3" s="1"/>
  <c r="S104" i="3"/>
  <c r="T104" i="3" s="1"/>
  <c r="S30" i="3"/>
  <c r="T30" i="3" s="1"/>
  <c r="S48" i="3"/>
  <c r="T48" i="3" s="1"/>
  <c r="S63" i="3"/>
  <c r="T63" i="3" s="1"/>
  <c r="S67" i="3"/>
  <c r="T67" i="3" s="1"/>
  <c r="S83" i="3"/>
  <c r="T83" i="3" s="1"/>
  <c r="S16" i="3"/>
  <c r="S10" i="3"/>
  <c r="S27" i="3"/>
  <c r="T27" i="3" s="1"/>
  <c r="S60" i="3"/>
  <c r="T60" i="3" s="1"/>
  <c r="S61" i="3"/>
  <c r="T61" i="3" s="1"/>
  <c r="S93" i="3"/>
  <c r="T93" i="3" s="1"/>
  <c r="S38" i="3"/>
  <c r="T38" i="3" s="1"/>
  <c r="S50" i="3"/>
  <c r="T50" i="3" s="1"/>
  <c r="S41" i="3"/>
  <c r="T41" i="3" s="1"/>
  <c r="S72" i="3"/>
  <c r="T72" i="3" s="1"/>
  <c r="S40" i="3"/>
  <c r="S84" i="3"/>
  <c r="T84" i="3" s="1"/>
  <c r="S34" i="3"/>
  <c r="T34" i="3" s="1"/>
  <c r="S42" i="3"/>
  <c r="T42" i="3" s="1"/>
  <c r="S71" i="3"/>
  <c r="T71" i="3" s="1"/>
  <c r="S59" i="3"/>
  <c r="T59" i="3" s="1"/>
  <c r="S6" i="3"/>
  <c r="S37" i="3"/>
  <c r="T37" i="3" s="1"/>
  <c r="S31" i="3"/>
  <c r="T31" i="3" s="1"/>
  <c r="S120" i="3"/>
  <c r="T120" i="3" s="1"/>
  <c r="S43" i="3"/>
  <c r="S75" i="3"/>
  <c r="T75" i="3" s="1"/>
  <c r="S92" i="3"/>
  <c r="T92" i="3" s="1"/>
  <c r="S116" i="3"/>
  <c r="T116" i="3" s="1"/>
  <c r="S118" i="3"/>
  <c r="T118" i="3" s="1"/>
  <c r="S58" i="3"/>
  <c r="S126" i="3"/>
  <c r="T126" i="3" s="1"/>
  <c r="S80" i="3"/>
  <c r="T80" i="3" s="1"/>
  <c r="S56" i="3"/>
  <c r="T56" i="3" s="1"/>
  <c r="S70" i="3"/>
  <c r="T70" i="3" s="1"/>
  <c r="S55" i="3"/>
  <c r="T55" i="3" s="1"/>
  <c r="S124" i="3"/>
  <c r="S28" i="3"/>
  <c r="S113" i="3"/>
  <c r="T113" i="3" s="1"/>
  <c r="S77" i="3"/>
  <c r="T77" i="3" s="1"/>
  <c r="S101" i="3"/>
  <c r="T101" i="3" s="1"/>
  <c r="S53" i="3"/>
  <c r="T53" i="3" s="1"/>
  <c r="S88" i="3"/>
  <c r="S91" i="3"/>
  <c r="T91" i="3" s="1"/>
  <c r="S11" i="3"/>
  <c r="T11" i="3" s="1"/>
  <c r="S166" i="3"/>
  <c r="T166" i="3" s="1"/>
  <c r="S151" i="3"/>
  <c r="T151" i="3" s="1"/>
  <c r="S87" i="3"/>
  <c r="T87" i="3" s="1"/>
  <c r="S44" i="3"/>
  <c r="T44" i="3" s="1"/>
  <c r="S171" i="3"/>
  <c r="S121" i="3"/>
  <c r="T121" i="3" s="1"/>
  <c r="S46" i="3"/>
  <c r="T46" i="3" s="1"/>
  <c r="S148" i="3"/>
  <c r="T148" i="3" s="1"/>
  <c r="S98" i="3"/>
  <c r="T98" i="3" s="1"/>
  <c r="S76" i="3"/>
  <c r="T76" i="3" s="1"/>
  <c r="S97" i="3"/>
  <c r="T97" i="3" s="1"/>
  <c r="S47" i="3"/>
  <c r="T47" i="3" s="1"/>
  <c r="S90" i="3"/>
  <c r="S94" i="3"/>
  <c r="T94" i="3" s="1"/>
  <c r="S223" i="3"/>
  <c r="T223" i="3" s="1"/>
  <c r="S201" i="3"/>
  <c r="T201" i="3" s="1"/>
  <c r="S102" i="3"/>
  <c r="T102" i="3" s="1"/>
  <c r="S7" i="3"/>
  <c r="S81" i="3"/>
  <c r="T81" i="3" s="1"/>
  <c r="S18" i="3"/>
  <c r="T18" i="3" s="1"/>
  <c r="S73" i="3"/>
  <c r="S129" i="3"/>
  <c r="T129" i="3" s="1"/>
  <c r="S99" i="3"/>
  <c r="T99" i="3" s="1"/>
  <c r="S127" i="3"/>
  <c r="T127" i="3" s="1"/>
  <c r="S268" i="3"/>
  <c r="T268" i="3" s="1"/>
  <c r="S146" i="3"/>
  <c r="T146" i="3" s="1"/>
  <c r="S188" i="3"/>
  <c r="S158" i="3"/>
  <c r="T158" i="3" s="1"/>
  <c r="S111" i="3"/>
  <c r="S100" i="3"/>
  <c r="T100" i="3" s="1"/>
  <c r="S131" i="3"/>
  <c r="T131" i="3" s="1"/>
  <c r="S206" i="3"/>
  <c r="T206" i="3" s="1"/>
  <c r="S159" i="3"/>
  <c r="T159" i="3" s="1"/>
  <c r="S107" i="3"/>
  <c r="T107" i="3" s="1"/>
  <c r="S115" i="3"/>
  <c r="T115" i="3" s="1"/>
  <c r="S147" i="3"/>
  <c r="T147" i="3" s="1"/>
  <c r="S198" i="3"/>
  <c r="T198" i="3" s="1"/>
  <c r="S119" i="3"/>
  <c r="S89" i="3"/>
  <c r="T89" i="3" s="1"/>
  <c r="S109" i="3"/>
  <c r="T109" i="3" s="1"/>
  <c r="S399" i="3"/>
  <c r="S150" i="3"/>
  <c r="T150" i="3" s="1"/>
  <c r="S218" i="3"/>
  <c r="T218" i="3" s="1"/>
  <c r="S78" i="3"/>
  <c r="T78" i="3" s="1"/>
  <c r="S130" i="3"/>
  <c r="T130" i="3" s="1"/>
  <c r="S132" i="3"/>
  <c r="T132" i="3" s="1"/>
  <c r="S122" i="3"/>
  <c r="T122" i="3" s="1"/>
  <c r="S162" i="3"/>
  <c r="T162" i="3" s="1"/>
  <c r="S134" i="3"/>
  <c r="S69" i="3"/>
  <c r="T69" i="3" s="1"/>
  <c r="S95" i="3"/>
  <c r="T95" i="3" s="1"/>
  <c r="S112" i="3"/>
  <c r="T112" i="3" s="1"/>
  <c r="S45" i="3"/>
  <c r="T45" i="3" s="1"/>
  <c r="S157" i="3"/>
  <c r="T157" i="3" s="1"/>
  <c r="S283" i="3"/>
  <c r="T283" i="3" s="1"/>
  <c r="S138" i="3"/>
  <c r="T138" i="3" s="1"/>
  <c r="S384" i="3"/>
  <c r="T384" i="3" s="1"/>
  <c r="S39" i="3"/>
  <c r="T39" i="3" s="1"/>
  <c r="S96" i="3"/>
  <c r="T96" i="3" s="1"/>
  <c r="S68" i="3"/>
  <c r="T68" i="3" s="1"/>
  <c r="S232" i="3"/>
  <c r="T232" i="3" s="1"/>
  <c r="S189" i="3"/>
  <c r="S160" i="3"/>
  <c r="T160" i="3" s="1"/>
  <c r="S110" i="3"/>
  <c r="S141" i="3"/>
  <c r="T141" i="3" s="1"/>
  <c r="S152" i="3"/>
  <c r="T152" i="3" s="1"/>
  <c r="S230" i="3"/>
  <c r="T230" i="3" s="1"/>
  <c r="S145" i="3"/>
  <c r="S153" i="3"/>
  <c r="T153" i="3" s="1"/>
  <c r="S65" i="3"/>
  <c r="S143" i="3"/>
  <c r="T143" i="3" s="1"/>
  <c r="S139" i="3"/>
  <c r="T139" i="3" s="1"/>
  <c r="S442" i="3"/>
  <c r="T442" i="3" s="1"/>
  <c r="S62" i="3"/>
  <c r="T62" i="3" s="1"/>
  <c r="S192" i="3"/>
  <c r="T192" i="3" s="1"/>
  <c r="S156" i="3"/>
  <c r="T156" i="3" s="1"/>
  <c r="S289" i="3"/>
  <c r="T289" i="3" s="1"/>
  <c r="S74" i="3"/>
  <c r="T74" i="3" s="1"/>
  <c r="S185" i="3"/>
  <c r="T185" i="3" s="1"/>
  <c r="S86" i="3"/>
  <c r="T86" i="3" s="1"/>
  <c r="S211" i="3"/>
  <c r="T211" i="3" s="1"/>
  <c r="S123" i="3"/>
  <c r="T123" i="3" s="1"/>
  <c r="S194" i="3"/>
  <c r="T194" i="3" s="1"/>
  <c r="S142" i="3"/>
  <c r="T142" i="3" s="1"/>
  <c r="S136" i="3"/>
  <c r="T136" i="3" s="1"/>
  <c r="S213" i="3"/>
  <c r="T213" i="3" s="1"/>
  <c r="S205" i="3"/>
  <c r="S275" i="3"/>
  <c r="T275" i="3" s="1"/>
  <c r="S85" i="3"/>
  <c r="T85" i="3" s="1"/>
  <c r="S270" i="3"/>
  <c r="T270" i="3" s="1"/>
  <c r="S108" i="3"/>
  <c r="S282" i="3"/>
  <c r="S125" i="3"/>
  <c r="S315" i="3"/>
  <c r="T315" i="3" s="1"/>
  <c r="S137" i="3"/>
  <c r="T137" i="3" s="1"/>
  <c r="S244" i="3"/>
  <c r="T244" i="3" s="1"/>
  <c r="S284" i="3"/>
  <c r="T284" i="3" s="1"/>
  <c r="S79" i="3"/>
  <c r="S252" i="3"/>
  <c r="T252" i="3" s="1"/>
  <c r="S174" i="3"/>
  <c r="T174" i="3" s="1"/>
  <c r="S210" i="3"/>
  <c r="T210" i="3" s="1"/>
  <c r="S401" i="3"/>
  <c r="T401" i="3" s="1"/>
  <c r="S499" i="3"/>
  <c r="T499" i="3" s="1"/>
  <c r="S357" i="3"/>
  <c r="T357" i="3" s="1"/>
  <c r="S287" i="3"/>
  <c r="T287" i="3" s="1"/>
  <c r="S186" i="3"/>
  <c r="T186" i="3" s="1"/>
  <c r="S199" i="3"/>
  <c r="T199" i="3" s="1"/>
  <c r="S250" i="3"/>
  <c r="T250" i="3" s="1"/>
  <c r="S506" i="3"/>
  <c r="T506" i="3" s="1"/>
  <c r="S319" i="3"/>
  <c r="T319" i="3" s="1"/>
  <c r="S184" i="3"/>
  <c r="T184" i="3" s="1"/>
  <c r="S363" i="3"/>
  <c r="T363" i="3" s="1"/>
  <c r="S249" i="3"/>
  <c r="S190" i="3"/>
  <c r="T190" i="3" s="1"/>
  <c r="S292" i="3"/>
  <c r="T292" i="3" s="1"/>
  <c r="S163" i="3"/>
  <c r="T163" i="3" s="1"/>
  <c r="S217" i="3"/>
  <c r="T217" i="3" s="1"/>
  <c r="S259" i="3"/>
  <c r="T259" i="3" s="1"/>
  <c r="S397" i="3"/>
  <c r="T397" i="3" s="1"/>
  <c r="S169" i="3"/>
  <c r="T169" i="3" s="1"/>
  <c r="S239" i="3"/>
  <c r="T239" i="3" s="1"/>
  <c r="S212" i="3"/>
  <c r="T212" i="3" s="1"/>
  <c r="S261" i="3"/>
  <c r="T261" i="3" s="1"/>
  <c r="S341" i="3"/>
  <c r="T341" i="3" s="1"/>
  <c r="S227" i="3"/>
  <c r="T227" i="3" s="1"/>
  <c r="S229" i="3"/>
  <c r="T229" i="3" s="1"/>
  <c r="S278" i="3"/>
  <c r="T278" i="3" s="1"/>
  <c r="S272" i="3"/>
  <c r="T272" i="3" s="1"/>
  <c r="S179" i="3"/>
  <c r="T179" i="3" s="1"/>
  <c r="S231" i="3"/>
  <c r="T231" i="3" s="1"/>
  <c r="S550" i="3"/>
  <c r="T550" i="3" s="1"/>
  <c r="S17" i="3"/>
  <c r="S222" i="3"/>
  <c r="S114" i="3"/>
  <c r="T114" i="3" s="1"/>
  <c r="S235" i="3"/>
  <c r="T235" i="3" s="1"/>
  <c r="S135" i="3"/>
  <c r="T135" i="3" s="1"/>
  <c r="S208" i="3"/>
  <c r="T208" i="3" s="1"/>
  <c r="S117" i="3"/>
  <c r="S193" i="3"/>
  <c r="T193" i="3" s="1"/>
  <c r="S82" i="3"/>
  <c r="T82" i="3" s="1"/>
  <c r="S106" i="3"/>
  <c r="T106" i="3" s="1"/>
  <c r="S133" i="3"/>
  <c r="T133" i="3" s="1"/>
  <c r="S262" i="3"/>
  <c r="T262" i="3" s="1"/>
  <c r="S310" i="3"/>
  <c r="T310" i="3" s="1"/>
  <c r="S32" i="3"/>
  <c r="S358" i="3"/>
  <c r="T358" i="3" s="1"/>
  <c r="S328" i="3"/>
  <c r="T328" i="3" s="1"/>
  <c r="S377" i="3"/>
  <c r="T377" i="3" s="1"/>
  <c r="S180" i="3"/>
  <c r="T180" i="3" s="1"/>
  <c r="S365" i="3"/>
  <c r="T365" i="3" s="1"/>
  <c r="S605" i="3"/>
  <c r="T605" i="3" s="1"/>
  <c r="S348" i="3"/>
  <c r="T348" i="3" s="1"/>
  <c r="S437" i="3"/>
  <c r="T437" i="3" s="1"/>
  <c r="S523" i="3"/>
  <c r="T523" i="3" s="1"/>
  <c r="S172" i="3"/>
  <c r="T172" i="3" s="1"/>
  <c r="S484" i="3"/>
  <c r="T484" i="3" s="1"/>
  <c r="S291" i="3"/>
  <c r="S515" i="3"/>
  <c r="T515" i="3" s="1"/>
  <c r="S575" i="3"/>
  <c r="T575" i="3" s="1"/>
  <c r="S426" i="3"/>
  <c r="T426" i="3" s="1"/>
  <c r="S493" i="3"/>
  <c r="T493" i="3" s="1"/>
  <c r="S511" i="3"/>
  <c r="T511" i="3" s="1"/>
  <c r="S313" i="3"/>
  <c r="T313" i="3" s="1"/>
  <c r="S279" i="3"/>
  <c r="T279" i="3" s="1"/>
  <c r="S340" i="3"/>
  <c r="T340" i="3" s="1"/>
  <c r="S345" i="3"/>
  <c r="T345" i="3" s="1"/>
  <c r="S367" i="3"/>
  <c r="T367" i="3" s="1"/>
  <c r="S281" i="3"/>
  <c r="T281" i="3" s="1"/>
  <c r="S251" i="3"/>
  <c r="T251" i="3" s="1"/>
  <c r="S216" i="3"/>
  <c r="T216" i="3" s="1"/>
  <c r="S297" i="3"/>
  <c r="T297" i="3" s="1"/>
  <c r="S514" i="3"/>
  <c r="T514" i="3" s="1"/>
  <c r="S245" i="3"/>
  <c r="T245" i="3" s="1"/>
  <c r="S338" i="3"/>
  <c r="T338" i="3" s="1"/>
  <c r="S187" i="3"/>
  <c r="T187" i="3" s="1"/>
  <c r="S430" i="3"/>
  <c r="T430" i="3" s="1"/>
  <c r="S274" i="3"/>
  <c r="T274" i="3" s="1"/>
  <c r="S334" i="3"/>
  <c r="T334" i="3" s="1"/>
  <c r="S403" i="3"/>
  <c r="T403" i="3" s="1"/>
  <c r="S451" i="3"/>
  <c r="T451" i="3" s="1"/>
  <c r="S573" i="3"/>
  <c r="T573" i="3" s="1"/>
  <c r="S306" i="3"/>
  <c r="T306" i="3" s="1"/>
  <c r="S255" i="3"/>
  <c r="T255" i="3" s="1"/>
  <c r="S285" i="3"/>
  <c r="T285" i="3" s="1"/>
  <c r="S277" i="3"/>
  <c r="T277" i="3" s="1"/>
  <c r="S443" i="3"/>
  <c r="T443" i="3" s="1"/>
  <c r="S298" i="3"/>
  <c r="T298" i="3" s="1"/>
  <c r="S154" i="3"/>
  <c r="T154" i="3" s="1"/>
  <c r="S182" i="3"/>
  <c r="T182" i="3" s="1"/>
  <c r="S178" i="3"/>
  <c r="T178" i="3" s="1"/>
  <c r="S226" i="3"/>
  <c r="T226" i="3" s="1"/>
  <c r="S209" i="3"/>
  <c r="T209" i="3" s="1"/>
  <c r="S207" i="3"/>
  <c r="T207" i="3" s="1"/>
  <c r="S359" i="3"/>
  <c r="T359" i="3" s="1"/>
  <c r="S228" i="3"/>
  <c r="T228" i="3" s="1"/>
  <c r="S406" i="3"/>
  <c r="T406" i="3" s="1"/>
  <c r="S417" i="3"/>
  <c r="T417" i="3" s="1"/>
  <c r="S202" i="3"/>
  <c r="T202" i="3" s="1"/>
  <c r="S333" i="3"/>
  <c r="T333" i="3" s="1"/>
  <c r="S394" i="3"/>
  <c r="T394" i="3" s="1"/>
  <c r="S381" i="3"/>
  <c r="T381" i="3" s="1"/>
  <c r="S352" i="3"/>
  <c r="T352" i="3" s="1"/>
  <c r="S322" i="3"/>
  <c r="T322" i="3" s="1"/>
  <c r="S383" i="3"/>
  <c r="T383" i="3" s="1"/>
  <c r="S140" i="3"/>
  <c r="T140" i="3" s="1"/>
  <c r="S176" i="3"/>
  <c r="T176" i="3" s="1"/>
  <c r="S197" i="3"/>
  <c r="T197" i="3" s="1"/>
  <c r="S342" i="3"/>
  <c r="T342" i="3" s="1"/>
  <c r="S332" i="3"/>
  <c r="T332" i="3" s="1"/>
  <c r="S260" i="3"/>
  <c r="T260" i="3" s="1"/>
  <c r="S326" i="3"/>
  <c r="T326" i="3" s="1"/>
  <c r="S335" i="3"/>
  <c r="T335" i="3" s="1"/>
  <c r="S258" i="3"/>
  <c r="T258" i="3" s="1"/>
  <c r="S385" i="3"/>
  <c r="T385" i="3" s="1"/>
  <c r="S337" i="3"/>
  <c r="S299" i="3"/>
  <c r="T299" i="3" s="1"/>
  <c r="S624" i="3"/>
  <c r="T624" i="3" s="1"/>
  <c r="S330" i="3"/>
  <c r="T330" i="3" s="1"/>
  <c r="S247" i="3"/>
  <c r="S161" i="3"/>
  <c r="S323" i="3"/>
  <c r="T323" i="3" s="1"/>
  <c r="S375" i="3"/>
  <c r="T375" i="3" s="1"/>
  <c r="S196" i="3"/>
  <c r="T196" i="3" s="1"/>
  <c r="S265" i="3"/>
  <c r="S308" i="3"/>
  <c r="T308" i="3" s="1"/>
  <c r="S195" i="3"/>
  <c r="T195" i="3" s="1"/>
  <c r="S175" i="3"/>
  <c r="T175" i="3" s="1"/>
  <c r="S144" i="3"/>
  <c r="T144" i="3" s="1"/>
  <c r="S389" i="3"/>
  <c r="T389" i="3" s="1"/>
  <c r="S305" i="3"/>
  <c r="S215" i="3"/>
  <c r="T215" i="3" s="1"/>
  <c r="S402" i="3"/>
  <c r="T402" i="3" s="1"/>
  <c r="S8" i="3"/>
  <c r="S149" i="3"/>
  <c r="T149" i="3" s="1"/>
  <c r="S423" i="3"/>
  <c r="T423" i="3" s="1"/>
  <c r="S9" i="3"/>
  <c r="T9" i="3" s="1"/>
  <c r="S181" i="3"/>
  <c r="T181" i="3" s="1"/>
  <c r="S64" i="3"/>
  <c r="S657" i="3"/>
  <c r="T657" i="3" s="1"/>
  <c r="S635" i="3"/>
  <c r="T635" i="3" s="1"/>
  <c r="S652" i="3"/>
  <c r="T652" i="3" s="1"/>
  <c r="S582" i="3"/>
  <c r="T582" i="3" s="1"/>
  <c r="S597" i="3"/>
  <c r="T597" i="3" s="1"/>
  <c r="S526" i="3"/>
  <c r="T526" i="3" s="1"/>
  <c r="S537" i="3"/>
  <c r="T537" i="3" s="1"/>
  <c r="S571" i="3"/>
  <c r="T571" i="3" s="1"/>
  <c r="S650" i="3"/>
  <c r="T650" i="3" s="1"/>
  <c r="S469" i="3"/>
  <c r="T469" i="3" s="1"/>
  <c r="S630" i="3"/>
  <c r="T630" i="3" s="1"/>
  <c r="S346" i="3"/>
  <c r="T346" i="3" s="1"/>
  <c r="S600" i="3"/>
  <c r="T600" i="3" s="1"/>
  <c r="S615" i="3"/>
  <c r="T615" i="3" s="1"/>
  <c r="S634" i="3"/>
  <c r="T634" i="3" s="1"/>
  <c r="S509" i="3"/>
  <c r="T509" i="3" s="1"/>
  <c r="S521" i="3"/>
  <c r="T521" i="3" s="1"/>
  <c r="S593" i="3"/>
  <c r="T593" i="3" s="1"/>
  <c r="S421" i="3"/>
  <c r="T421" i="3" s="1"/>
  <c r="S616" i="3"/>
  <c r="T616" i="3" s="1"/>
  <c r="S640" i="3"/>
  <c r="T640" i="3" s="1"/>
  <c r="S638" i="3"/>
  <c r="T638" i="3" s="1"/>
  <c r="S632" i="3"/>
  <c r="T632" i="3" s="1"/>
  <c r="S642" i="3"/>
  <c r="T642" i="3" s="1"/>
  <c r="S646" i="3"/>
  <c r="T646" i="3" s="1"/>
  <c r="S656" i="3"/>
  <c r="T656" i="3" s="1"/>
  <c r="S519" i="3"/>
  <c r="T519" i="3" s="1"/>
  <c r="S643" i="3"/>
  <c r="T643" i="3" s="1"/>
  <c r="S655" i="3"/>
  <c r="T655" i="3" s="1"/>
  <c r="S564" i="3"/>
  <c r="T564" i="3" s="1"/>
  <c r="S461" i="3"/>
  <c r="T461" i="3" s="1"/>
  <c r="S522" i="3"/>
  <c r="T522" i="3" s="1"/>
  <c r="S538" i="3"/>
  <c r="T538" i="3" s="1"/>
  <c r="S555" i="3"/>
  <c r="T555" i="3" s="1"/>
  <c r="S658" i="3"/>
  <c r="T658" i="3" s="1"/>
  <c r="S505" i="3"/>
  <c r="T505" i="3" s="1"/>
  <c r="S580" i="3"/>
  <c r="T580" i="3" s="1"/>
  <c r="S554" i="3"/>
  <c r="T554" i="3" s="1"/>
  <c r="S647" i="3"/>
  <c r="T647" i="3" s="1"/>
  <c r="S654" i="3"/>
  <c r="T654" i="3" s="1"/>
  <c r="S507" i="3"/>
  <c r="T507" i="3" s="1"/>
  <c r="S574" i="3"/>
  <c r="T574" i="3" s="1"/>
  <c r="S549" i="3"/>
  <c r="T549" i="3" s="1"/>
  <c r="S606" i="3"/>
  <c r="T606" i="3" s="1"/>
  <c r="S516" i="3"/>
  <c r="T516" i="3" s="1"/>
  <c r="S395" i="3"/>
  <c r="T395" i="3" s="1"/>
  <c r="S448" i="3"/>
  <c r="T448" i="3" s="1"/>
  <c r="S424" i="3"/>
  <c r="T424" i="3" s="1"/>
  <c r="S629" i="3"/>
  <c r="T629" i="3" s="1"/>
  <c r="S631" i="3"/>
  <c r="T631" i="3" s="1"/>
  <c r="S339" i="3"/>
  <c r="T339" i="3" s="1"/>
  <c r="S355" i="3"/>
  <c r="T355" i="3" s="1"/>
  <c r="S569" i="3"/>
  <c r="T569" i="3" s="1"/>
  <c r="S589" i="3"/>
  <c r="T589" i="3" s="1"/>
  <c r="S489" i="3"/>
  <c r="T489" i="3" s="1"/>
  <c r="S220" i="3"/>
  <c r="T220" i="3" s="1"/>
  <c r="S457" i="3"/>
  <c r="T457" i="3" s="1"/>
  <c r="S541" i="3"/>
  <c r="T541" i="3" s="1"/>
  <c r="S596" i="3"/>
  <c r="T596" i="3" s="1"/>
  <c r="S344" i="3"/>
  <c r="T344" i="3" s="1"/>
  <c r="S544" i="3"/>
  <c r="T544" i="3" s="1"/>
  <c r="S267" i="3"/>
  <c r="T267" i="3" s="1"/>
  <c r="S535" i="3"/>
  <c r="T535" i="3" s="1"/>
  <c r="S584" i="3"/>
  <c r="T584" i="3" s="1"/>
  <c r="S570" i="3"/>
  <c r="T570" i="3" s="1"/>
  <c r="S579" i="3"/>
  <c r="T579" i="3" s="1"/>
  <c r="S503" i="3"/>
  <c r="T503" i="3" s="1"/>
  <c r="S639" i="3"/>
  <c r="T639" i="3" s="1"/>
  <c r="S594" i="3"/>
  <c r="T594" i="3" s="1"/>
  <c r="S568" i="3"/>
  <c r="T568" i="3" s="1"/>
  <c r="S513" i="3"/>
  <c r="T513" i="3" s="1"/>
  <c r="S623" i="3"/>
  <c r="T623" i="3" s="1"/>
  <c r="S485" i="3"/>
  <c r="T485" i="3" s="1"/>
  <c r="S609" i="3"/>
  <c r="T609" i="3" s="1"/>
  <c r="S644" i="3"/>
  <c r="T644" i="3" s="1"/>
  <c r="S408" i="3"/>
  <c r="T408" i="3" s="1"/>
  <c r="S508" i="3"/>
  <c r="T508" i="3" s="1"/>
  <c r="S392" i="3"/>
  <c r="T392" i="3" s="1"/>
  <c r="S599" i="3"/>
  <c r="T599" i="3" s="1"/>
  <c r="S436" i="3"/>
  <c r="T436" i="3" s="1"/>
  <c r="S547" i="3"/>
  <c r="T547" i="3" s="1"/>
  <c r="S369" i="3"/>
  <c r="T369" i="3" s="1"/>
  <c r="S492" i="3"/>
  <c r="T492" i="3" s="1"/>
  <c r="S608" i="3"/>
  <c r="T608" i="3" s="1"/>
  <c r="S540" i="3"/>
  <c r="T540" i="3" s="1"/>
  <c r="S453" i="3"/>
  <c r="T453" i="3" s="1"/>
  <c r="S372" i="3"/>
  <c r="T372" i="3" s="1"/>
  <c r="S418" i="3"/>
  <c r="T418" i="3" s="1"/>
  <c r="S496" i="3"/>
  <c r="T496" i="3" s="1"/>
  <c r="S501" i="3"/>
  <c r="T501" i="3" s="1"/>
  <c r="S478" i="3"/>
  <c r="T478" i="3" s="1"/>
  <c r="S318" i="3"/>
  <c r="T318" i="3" s="1"/>
  <c r="S542" i="3"/>
  <c r="T542" i="3" s="1"/>
  <c r="S551" i="3"/>
  <c r="T551" i="3" s="1"/>
  <c r="S524" i="3"/>
  <c r="T524" i="3" s="1"/>
  <c r="S561" i="3"/>
  <c r="T561" i="3" s="1"/>
  <c r="S621" i="3"/>
  <c r="T621" i="3" s="1"/>
  <c r="S581" i="3"/>
  <c r="T581" i="3" s="1"/>
  <c r="S604" i="3"/>
  <c r="T604" i="3" s="1"/>
  <c r="S309" i="3"/>
  <c r="T309" i="3" s="1"/>
  <c r="S557" i="3"/>
  <c r="T557" i="3" s="1"/>
  <c r="S525" i="3"/>
  <c r="T525" i="3" s="1"/>
  <c r="S324" i="3"/>
  <c r="T324" i="3" s="1"/>
  <c r="S520" i="3"/>
  <c r="T520" i="3" s="1"/>
  <c r="S612" i="3"/>
  <c r="T612" i="3" s="1"/>
  <c r="S480" i="3"/>
  <c r="T480" i="3" s="1"/>
  <c r="S475" i="3"/>
  <c r="T475" i="3" s="1"/>
  <c r="S543" i="3"/>
  <c r="T543" i="3" s="1"/>
  <c r="S455" i="3"/>
  <c r="T455" i="3" s="1"/>
  <c r="S364" i="3"/>
  <c r="T364" i="3" s="1"/>
  <c r="S546" i="3"/>
  <c r="T546" i="3" s="1"/>
  <c r="S625" i="3"/>
  <c r="T625" i="3" s="1"/>
  <c r="S566" i="3"/>
  <c r="T566" i="3" s="1"/>
  <c r="S641" i="3"/>
  <c r="T641" i="3" s="1"/>
  <c r="S628" i="3"/>
  <c r="T628" i="3" s="1"/>
  <c r="S598" i="3"/>
  <c r="T598" i="3" s="1"/>
  <c r="S533" i="3"/>
  <c r="T533" i="3" s="1"/>
  <c r="S637" i="3"/>
  <c r="T637" i="3" s="1"/>
  <c r="S567" i="3"/>
  <c r="T567" i="3" s="1"/>
  <c r="S562" i="3"/>
  <c r="T562" i="3" s="1"/>
  <c r="S266" i="3"/>
  <c r="T266" i="3" s="1"/>
  <c r="S317" i="3"/>
  <c r="T317" i="3" s="1"/>
  <c r="S356" i="3"/>
  <c r="T356" i="3" s="1"/>
  <c r="S280" i="3"/>
  <c r="T280" i="3" s="1"/>
  <c r="S373" i="3"/>
  <c r="T373" i="3" s="1"/>
  <c r="S327" i="3"/>
  <c r="T327" i="3" s="1"/>
  <c r="S534" i="3"/>
  <c r="T534" i="3" s="1"/>
  <c r="S504" i="3"/>
  <c r="T504" i="3" s="1"/>
  <c r="S440" i="3"/>
  <c r="T440" i="3" s="1"/>
  <c r="S420" i="3"/>
  <c r="T420" i="3" s="1"/>
  <c r="S487" i="3"/>
  <c r="T487" i="3" s="1"/>
  <c r="S404" i="3"/>
  <c r="T404" i="3" s="1"/>
  <c r="S286" i="3"/>
  <c r="T286" i="3" s="1"/>
  <c r="S527" i="3"/>
  <c r="T527" i="3" s="1"/>
  <c r="S316" i="3"/>
  <c r="T316" i="3" s="1"/>
  <c r="S611" i="3"/>
  <c r="T611" i="3" s="1"/>
  <c r="S477" i="3"/>
  <c r="T477" i="3" s="1"/>
  <c r="S388" i="3"/>
  <c r="T388" i="3" s="1"/>
  <c r="S572" i="3"/>
  <c r="T572" i="3" s="1"/>
  <c r="S483" i="3"/>
  <c r="T483" i="3" s="1"/>
  <c r="S411" i="3"/>
  <c r="T411" i="3" s="1"/>
  <c r="S419" i="3"/>
  <c r="T419" i="3" s="1"/>
  <c r="S491" i="3"/>
  <c r="T491" i="3" s="1"/>
  <c r="S565" i="3"/>
  <c r="T565" i="3" s="1"/>
  <c r="S303" i="3"/>
  <c r="T303" i="3" s="1"/>
  <c r="S204" i="3"/>
  <c r="T204" i="3" s="1"/>
  <c r="S425" i="3"/>
  <c r="T425" i="3" s="1"/>
  <c r="S325" i="3"/>
  <c r="T325" i="3" s="1"/>
  <c r="S234" i="3"/>
  <c r="T234" i="3" s="1"/>
  <c r="S224" i="3"/>
  <c r="T224" i="3" s="1"/>
  <c r="S203" i="3"/>
  <c r="T203" i="3" s="1"/>
  <c r="S450" i="3"/>
  <c r="T450" i="3" s="1"/>
  <c r="S312" i="3"/>
  <c r="T312" i="3" s="1"/>
  <c r="S351" i="3"/>
  <c r="T351" i="3" s="1"/>
  <c r="S362" i="3"/>
  <c r="T362" i="3" s="1"/>
  <c r="S398" i="3"/>
  <c r="T398" i="3" s="1"/>
  <c r="S530" i="3"/>
  <c r="T530" i="3" s="1"/>
  <c r="S468" i="3"/>
  <c r="T468" i="3" s="1"/>
  <c r="S545" i="3"/>
  <c r="T545" i="3" s="1"/>
  <c r="S458" i="3"/>
  <c r="T458" i="3" s="1"/>
  <c r="S307" i="3"/>
  <c r="S410" i="3"/>
  <c r="T410" i="3" s="1"/>
  <c r="S371" i="3"/>
  <c r="T371" i="3" s="1"/>
  <c r="S380" i="3"/>
  <c r="T380" i="3" s="1"/>
  <c r="S454" i="3"/>
  <c r="T454" i="3" s="1"/>
  <c r="S449" i="3"/>
  <c r="T449" i="3" s="1"/>
  <c r="S271" i="3"/>
  <c r="T271" i="3" s="1"/>
  <c r="S464" i="3"/>
  <c r="T464" i="3" s="1"/>
  <c r="S563" i="3"/>
  <c r="T563" i="3" s="1"/>
  <c r="S428" i="3"/>
  <c r="T428" i="3" s="1"/>
  <c r="S435" i="3"/>
  <c r="T435" i="3" s="1"/>
  <c r="S444" i="3"/>
  <c r="T444" i="3" s="1"/>
  <c r="S645" i="3"/>
  <c r="T645" i="3" s="1"/>
  <c r="S512" i="3"/>
  <c r="T512" i="3" s="1"/>
  <c r="S552" i="3"/>
  <c r="T552" i="3" s="1"/>
  <c r="S548" i="3"/>
  <c r="T548" i="3" s="1"/>
  <c r="S314" i="3"/>
  <c r="T314" i="3" s="1"/>
  <c r="S603" i="3"/>
  <c r="T603" i="3" s="1"/>
  <c r="S502" i="3"/>
  <c r="T502" i="3" s="1"/>
  <c r="S518" i="3"/>
  <c r="T518" i="3" s="1"/>
  <c r="S614" i="3"/>
  <c r="T614" i="3" s="1"/>
  <c r="S446" i="3"/>
  <c r="T446" i="3" s="1"/>
  <c r="S459" i="3"/>
  <c r="T459" i="3" s="1"/>
  <c r="S585" i="3"/>
  <c r="T585" i="3" s="1"/>
  <c r="S653" i="3"/>
  <c r="T653" i="3" s="1"/>
  <c r="S183" i="3"/>
  <c r="T183" i="3" s="1"/>
  <c r="S539" i="3"/>
  <c r="T539" i="3" s="1"/>
  <c r="S393" i="3"/>
  <c r="T393" i="3" s="1"/>
  <c r="S553" i="3"/>
  <c r="T553" i="3" s="1"/>
  <c r="S256" i="3"/>
  <c r="T256" i="3" s="1"/>
  <c r="S445" i="3"/>
  <c r="T445" i="3" s="1"/>
  <c r="S528" i="3"/>
  <c r="T528" i="3" s="1"/>
  <c r="S221" i="3"/>
  <c r="T221" i="3" s="1"/>
  <c r="S311" i="3"/>
  <c r="T311" i="3" s="1"/>
  <c r="S349" i="3"/>
  <c r="T349" i="3" s="1"/>
  <c r="S290" i="3"/>
  <c r="T290" i="3" s="1"/>
  <c r="S482" i="3"/>
  <c r="T482" i="3" s="1"/>
  <c r="S434" i="3"/>
  <c r="T434" i="3" s="1"/>
  <c r="S296" i="3"/>
  <c r="T296" i="3" s="1"/>
  <c r="S396" i="3"/>
  <c r="T396" i="3" s="1"/>
  <c r="S494" i="3"/>
  <c r="T494" i="3" s="1"/>
  <c r="S479" i="3"/>
  <c r="T479" i="3" s="1"/>
  <c r="S452" i="3"/>
  <c r="T452" i="3" s="1"/>
  <c r="S416" i="3"/>
  <c r="T416" i="3" s="1"/>
  <c r="S481" i="3"/>
  <c r="T481" i="3" s="1"/>
  <c r="S391" i="3"/>
  <c r="T391" i="3" s="1"/>
  <c r="S488" i="3"/>
  <c r="T488" i="3" s="1"/>
  <c r="S350" i="3"/>
  <c r="T350" i="3" s="1"/>
  <c r="S379" i="3"/>
  <c r="T379" i="3" s="1"/>
  <c r="S366" i="3"/>
  <c r="T366" i="3" s="1"/>
  <c r="S269" i="3"/>
  <c r="T269" i="3" s="1"/>
  <c r="S429" i="3"/>
  <c r="T429" i="3" s="1"/>
  <c r="S354" i="3"/>
  <c r="T354" i="3" s="1"/>
  <c r="S510" i="3"/>
  <c r="T510" i="3" s="1"/>
  <c r="S177" i="3"/>
  <c r="S622" i="3"/>
  <c r="T622" i="3" s="1"/>
  <c r="S462" i="3"/>
  <c r="T462" i="3" s="1"/>
  <c r="S531" i="3"/>
  <c r="T531" i="3" s="1"/>
  <c r="S578" i="3"/>
  <c r="T578" i="3" s="1"/>
  <c r="S439" i="3"/>
  <c r="T439" i="3" s="1"/>
  <c r="S253" i="3"/>
  <c r="T253" i="3" s="1"/>
  <c r="S374" i="3"/>
  <c r="T374" i="3" s="1"/>
  <c r="S414" i="3"/>
  <c r="T414" i="3" s="1"/>
  <c r="S465" i="3"/>
  <c r="T465" i="3" s="1"/>
  <c r="S590" i="3"/>
  <c r="T590" i="3" s="1"/>
  <c r="S602" i="3"/>
  <c r="T602" i="3" s="1"/>
  <c r="S560" i="3"/>
  <c r="T560" i="3" s="1"/>
  <c r="S353" i="3"/>
  <c r="S592" i="3"/>
  <c r="T592" i="3" s="1"/>
  <c r="S532" i="3"/>
  <c r="T532" i="3" s="1"/>
  <c r="S617" i="3"/>
  <c r="T617" i="3" s="1"/>
  <c r="S649" i="3"/>
  <c r="T649" i="3" s="1"/>
  <c r="S636" i="3"/>
  <c r="S619" i="3"/>
  <c r="T619" i="3" s="1"/>
  <c r="S591" i="3"/>
  <c r="T591" i="3" s="1"/>
  <c r="S651" i="3"/>
  <c r="T651" i="3" s="1"/>
  <c r="S168" i="3"/>
  <c r="T168" i="3" s="1"/>
  <c r="S432" i="3"/>
  <c r="T432" i="3" s="1"/>
  <c r="S302" i="3"/>
  <c r="T302" i="3" s="1"/>
  <c r="S329" i="3"/>
  <c r="T329" i="3" s="1"/>
  <c r="S438" i="3"/>
  <c r="T438" i="3" s="1"/>
  <c r="S242" i="3"/>
  <c r="T242" i="3" s="1"/>
  <c r="S263" i="3"/>
  <c r="T263" i="3" s="1"/>
  <c r="S288" i="3"/>
  <c r="T288" i="3" s="1"/>
  <c r="S331" i="3"/>
  <c r="T331" i="3" s="1"/>
  <c r="S105" i="3"/>
  <c r="T105" i="3" s="1"/>
  <c r="S295" i="3"/>
  <c r="T295" i="3" s="1"/>
  <c r="S427" i="3"/>
  <c r="T427" i="3" s="1"/>
  <c r="S273" i="3"/>
  <c r="T273" i="3" s="1"/>
  <c r="S321" i="3"/>
  <c r="T321" i="3" s="1"/>
  <c r="S343" i="3"/>
  <c r="T343" i="3" s="1"/>
  <c r="S243" i="3"/>
  <c r="T243" i="3" s="1"/>
  <c r="S246" i="3"/>
  <c r="T246" i="3" s="1"/>
  <c r="S382" i="3"/>
  <c r="T382" i="3" s="1"/>
  <c r="S376" i="3"/>
  <c r="T376" i="3" s="1"/>
  <c r="S433" i="3"/>
  <c r="T433" i="3" s="1"/>
  <c r="S471" i="3"/>
  <c r="T471" i="3" s="1"/>
  <c r="S320" i="3"/>
  <c r="T320" i="3" s="1"/>
  <c r="S361" i="3"/>
  <c r="T361" i="3" s="1"/>
  <c r="S378" i="3"/>
  <c r="T378" i="3" s="1"/>
  <c r="S463" i="3"/>
  <c r="T463" i="3" s="1"/>
  <c r="S241" i="3"/>
  <c r="S191" i="3"/>
  <c r="S170" i="3"/>
  <c r="T170" i="3" s="1"/>
  <c r="S413" i="3"/>
  <c r="S470" i="3"/>
  <c r="T470" i="3" s="1"/>
  <c r="S474" i="3"/>
  <c r="T474" i="3" s="1"/>
  <c r="S409" i="3"/>
  <c r="T409" i="3" s="1"/>
  <c r="S490" i="3"/>
  <c r="T490" i="3" s="1"/>
  <c r="S500" i="3"/>
  <c r="T500" i="3" s="1"/>
  <c r="S517" i="3"/>
  <c r="T517" i="3" s="1"/>
  <c r="S558" i="3"/>
  <c r="T558" i="3" s="1"/>
  <c r="S626" i="3"/>
  <c r="T626" i="3" s="1"/>
  <c r="S400" i="3"/>
  <c r="T400" i="3" s="1"/>
  <c r="S237" i="3"/>
  <c r="S618" i="3"/>
  <c r="T618" i="3" s="1"/>
  <c r="S588" i="3"/>
  <c r="T588" i="3" s="1"/>
  <c r="S238" i="3"/>
  <c r="T238" i="3" s="1"/>
  <c r="S587" i="3"/>
  <c r="T587" i="3" s="1"/>
  <c r="S633" i="3"/>
  <c r="T633" i="3" s="1"/>
  <c r="S390" i="3"/>
  <c r="T390" i="3" s="1"/>
  <c r="S387" i="3"/>
  <c r="T387" i="3" s="1"/>
  <c r="S610" i="3"/>
  <c r="T610" i="3" s="1"/>
  <c r="S173" i="3"/>
  <c r="S529" i="3"/>
  <c r="T529" i="3" s="1"/>
  <c r="S447" i="3"/>
  <c r="S601" i="3"/>
  <c r="T601" i="3" s="1"/>
  <c r="S233" i="3"/>
  <c r="T233" i="3" s="1"/>
  <c r="S613" i="3"/>
  <c r="T613" i="3" s="1"/>
  <c r="S620" i="3"/>
  <c r="T620" i="3" s="1"/>
  <c r="S225" i="3"/>
  <c r="T225" i="3" s="1"/>
  <c r="S347" i="3"/>
  <c r="T347" i="3" s="1"/>
  <c r="S405" i="3"/>
  <c r="T405" i="3" s="1"/>
  <c r="S467" i="3"/>
  <c r="T467" i="3" s="1"/>
  <c r="S412" i="3"/>
  <c r="T412" i="3" s="1"/>
  <c r="S240" i="3"/>
  <c r="T240" i="3" s="1"/>
  <c r="S456" i="3"/>
  <c r="T456" i="3" s="1"/>
  <c r="S595" i="3"/>
  <c r="T595" i="3" s="1"/>
  <c r="S486" i="3"/>
  <c r="T486" i="3" s="1"/>
  <c r="S293" i="3"/>
  <c r="T293" i="3" s="1"/>
  <c r="S498" i="3"/>
  <c r="T498" i="3" s="1"/>
  <c r="S304" i="3"/>
  <c r="T304" i="3" s="1"/>
  <c r="S254" i="3"/>
  <c r="T254" i="3" s="1"/>
  <c r="S301" i="3"/>
  <c r="T301" i="3" s="1"/>
  <c r="S336" i="3"/>
  <c r="T336" i="3" s="1"/>
  <c r="S473" i="3"/>
  <c r="T473" i="3" s="1"/>
  <c r="S431" i="3"/>
  <c r="T431" i="3" s="1"/>
  <c r="S460" i="3"/>
  <c r="T460" i="3" s="1"/>
  <c r="S294" i="3"/>
  <c r="T294" i="3" s="1"/>
  <c r="S472" i="3"/>
  <c r="T472" i="3" s="1"/>
  <c r="S536" i="3"/>
  <c r="T536" i="3" s="1"/>
  <c r="S236" i="3"/>
  <c r="T236" i="3" s="1"/>
  <c r="S300" i="3"/>
  <c r="T300" i="3" s="1"/>
  <c r="S559" i="3"/>
  <c r="T559" i="3" s="1"/>
  <c r="S415" i="3"/>
  <c r="T415" i="3" s="1"/>
  <c r="S370" i="3"/>
  <c r="T370" i="3" s="1"/>
  <c r="S607" i="3"/>
  <c r="T607" i="3" s="1"/>
  <c r="S219" i="3"/>
  <c r="T219" i="3" s="1"/>
  <c r="S422" i="3"/>
  <c r="T422" i="3" s="1"/>
  <c r="S495" i="3"/>
  <c r="T495" i="3" s="1"/>
  <c r="S164" i="3"/>
  <c r="T164" i="3" s="1"/>
  <c r="S264" i="3"/>
  <c r="T264" i="3" s="1"/>
  <c r="S167" i="3"/>
  <c r="T167" i="3" s="1"/>
  <c r="S200" i="3"/>
  <c r="T200" i="3" s="1"/>
  <c r="S128" i="3"/>
  <c r="S586" i="3"/>
  <c r="T586" i="3" s="1"/>
  <c r="S576" i="3"/>
  <c r="T576" i="3" s="1"/>
  <c r="S155" i="3"/>
  <c r="T155" i="3" s="1"/>
  <c r="S165" i="3"/>
  <c r="S214" i="3"/>
  <c r="S556" i="3"/>
  <c r="T556" i="3" s="1"/>
  <c r="S441" i="3"/>
  <c r="T441" i="3" s="1"/>
  <c r="S386" i="3"/>
  <c r="T386" i="3" s="1"/>
  <c r="S276" i="3"/>
  <c r="T276" i="3" s="1"/>
  <c r="S407" i="3"/>
  <c r="T407" i="3" s="1"/>
  <c r="S497" i="3"/>
  <c r="T497" i="3" s="1"/>
  <c r="S466" i="3"/>
  <c r="T466" i="3" s="1"/>
  <c r="S248" i="3"/>
  <c r="T248" i="3" s="1"/>
  <c r="S368" i="3"/>
  <c r="S476" i="3"/>
  <c r="T476" i="3" s="1"/>
  <c r="S360" i="3"/>
  <c r="T360" i="3" s="1"/>
  <c r="S257" i="3"/>
  <c r="T257" i="3" s="1"/>
  <c r="S577" i="3"/>
  <c r="T577" i="3" s="1"/>
  <c r="S583" i="3"/>
  <c r="T583" i="3" s="1"/>
  <c r="S627" i="3"/>
  <c r="T627" i="3" s="1"/>
  <c r="S648" i="3"/>
  <c r="T648" i="3" s="1"/>
  <c r="S659" i="3"/>
  <c r="T659" i="3" s="1"/>
  <c r="S4" i="3"/>
  <c r="T4" i="3" s="1"/>
  <c r="F1" i="3"/>
  <c r="G1" i="3"/>
  <c r="H1" i="3"/>
  <c r="J1" i="3"/>
  <c r="K1" i="3"/>
  <c r="L1" i="3"/>
  <c r="M1" i="3"/>
  <c r="N1" i="3"/>
  <c r="O1" i="3"/>
  <c r="P1" i="3"/>
  <c r="Q1" i="3"/>
  <c r="R1" i="3"/>
  <c r="I1" i="3"/>
  <c r="S1" i="3" s="1"/>
  <c r="C3" i="5"/>
  <c r="C2" i="5" s="1"/>
  <c r="D3" i="5"/>
  <c r="D2" i="5" s="1"/>
  <c r="E3" i="5"/>
  <c r="E2" i="5" s="1"/>
  <c r="F3" i="5"/>
  <c r="F2" i="5" s="1"/>
  <c r="G3" i="5"/>
  <c r="G2" i="5" s="1"/>
  <c r="H3" i="5"/>
  <c r="H2" i="5" s="1"/>
  <c r="I3" i="5"/>
  <c r="I2" i="5" s="1"/>
  <c r="J3" i="5"/>
  <c r="J2" i="5" s="1"/>
  <c r="B3" i="5"/>
  <c r="B2" i="5" s="1"/>
  <c r="E68" i="6" l="1"/>
  <c r="E59" i="6"/>
  <c r="E42" i="6"/>
  <c r="F59" i="6"/>
  <c r="E30" i="6"/>
  <c r="E54" i="6"/>
  <c r="E28" i="6"/>
  <c r="F42" i="6"/>
  <c r="F12" i="6"/>
  <c r="F28" i="6"/>
  <c r="F68" i="6"/>
  <c r="F30" i="6"/>
  <c r="T3" i="3"/>
  <c r="C2" i="7"/>
  <c r="D2" i="7" s="1"/>
  <c r="C3" i="6" s="1"/>
  <c r="T5" i="3"/>
  <c r="C3" i="7"/>
  <c r="D3" i="7" s="1"/>
  <c r="C14" i="6" s="1"/>
  <c r="T12" i="3"/>
  <c r="C8" i="7"/>
  <c r="D8" i="7" s="1"/>
  <c r="C10" i="6" s="1"/>
  <c r="T14" i="3"/>
  <c r="C10" i="7"/>
  <c r="D10" i="7" s="1"/>
  <c r="C7" i="6" s="1"/>
  <c r="T20" i="3"/>
  <c r="C13" i="7"/>
  <c r="D13" i="7" s="1"/>
  <c r="C60" i="6" s="1"/>
  <c r="T33" i="3"/>
  <c r="C16" i="7"/>
  <c r="D16" i="7" s="1"/>
  <c r="C20" i="6" s="1"/>
  <c r="T51" i="3"/>
  <c r="C19" i="7"/>
  <c r="D19" i="7" s="1"/>
  <c r="C23" i="6" s="1"/>
  <c r="T13" i="3"/>
  <c r="C9" i="7"/>
  <c r="D9" i="7" s="1"/>
  <c r="C11" i="6" s="1"/>
  <c r="T52" i="3"/>
  <c r="C20" i="7"/>
  <c r="D20" i="7" s="1"/>
  <c r="C16" i="6" s="1"/>
  <c r="T16" i="3"/>
  <c r="C11" i="7"/>
  <c r="D11" i="7" s="1"/>
  <c r="T10" i="3"/>
  <c r="C7" i="7"/>
  <c r="D7" i="7" s="1"/>
  <c r="C9" i="6" s="1"/>
  <c r="T40" i="3"/>
  <c r="C17" i="7"/>
  <c r="D17" i="7" s="1"/>
  <c r="C66" i="6" s="1"/>
  <c r="T6" i="3"/>
  <c r="C4" i="7"/>
  <c r="D4" i="7" s="1"/>
  <c r="C22" i="6" s="1"/>
  <c r="T43" i="3"/>
  <c r="C18" i="7"/>
  <c r="D18" i="7" s="1"/>
  <c r="C21" i="6" s="1"/>
  <c r="T58" i="3"/>
  <c r="C21" i="7"/>
  <c r="D21" i="7" s="1"/>
  <c r="C13" i="6" s="1"/>
  <c r="T124" i="3"/>
  <c r="C33" i="7"/>
  <c r="D33" i="7" s="1"/>
  <c r="C41" i="6" s="1"/>
  <c r="T28" i="3"/>
  <c r="C14" i="7"/>
  <c r="D14" i="7" s="1"/>
  <c r="C26" i="6" s="1"/>
  <c r="T88" i="3"/>
  <c r="C26" i="7"/>
  <c r="D26" i="7" s="1"/>
  <c r="C17" i="6" s="1"/>
  <c r="T171" i="3"/>
  <c r="C40" i="7"/>
  <c r="D40" i="7" s="1"/>
  <c r="C24" i="6" s="1"/>
  <c r="T90" i="3"/>
  <c r="C27" i="7"/>
  <c r="D27" i="7" s="1"/>
  <c r="C47" i="6" s="1"/>
  <c r="T7" i="3"/>
  <c r="C5" i="7"/>
  <c r="D5" i="7" s="1"/>
  <c r="C8" i="6" s="1"/>
  <c r="T73" i="3"/>
  <c r="C24" i="7"/>
  <c r="D24" i="7" s="1"/>
  <c r="C43" i="6" s="1"/>
  <c r="T188" i="3"/>
  <c r="C43" i="7"/>
  <c r="D43" i="7" s="1"/>
  <c r="C40" i="6" s="1"/>
  <c r="T111" i="3"/>
  <c r="C30" i="7"/>
  <c r="D30" i="7" s="1"/>
  <c r="C39" i="6" s="1"/>
  <c r="T119" i="3"/>
  <c r="C32" i="7"/>
  <c r="D32" i="7" s="1"/>
  <c r="C32" i="6" s="1"/>
  <c r="T399" i="3"/>
  <c r="C61" i="7"/>
  <c r="D61" i="7" s="1"/>
  <c r="C29" i="6" s="1"/>
  <c r="T134" i="3"/>
  <c r="C36" i="7"/>
  <c r="D36" i="7" s="1"/>
  <c r="C53" i="6" s="1"/>
  <c r="T189" i="3"/>
  <c r="C44" i="7"/>
  <c r="D44" i="7" s="1"/>
  <c r="C35" i="6" s="1"/>
  <c r="T110" i="3"/>
  <c r="C29" i="7"/>
  <c r="D29" i="7" s="1"/>
  <c r="C51" i="6" s="1"/>
  <c r="T145" i="3"/>
  <c r="C37" i="7"/>
  <c r="D37" i="7" s="1"/>
  <c r="C33" i="6" s="1"/>
  <c r="T65" i="3"/>
  <c r="C23" i="7"/>
  <c r="D23" i="7" s="1"/>
  <c r="C4" i="6" s="1"/>
  <c r="T205" i="3"/>
  <c r="C46" i="7"/>
  <c r="D46" i="7" s="1"/>
  <c r="C56" i="6" s="1"/>
  <c r="T108" i="3"/>
  <c r="C28" i="7"/>
  <c r="D28" i="7" s="1"/>
  <c r="C34" i="6" s="1"/>
  <c r="T282" i="3"/>
  <c r="C54" i="7"/>
  <c r="D54" i="7" s="1"/>
  <c r="C31" i="6" s="1"/>
  <c r="T125" i="3"/>
  <c r="C34" i="7"/>
  <c r="D34" i="7" s="1"/>
  <c r="C37" i="6" s="1"/>
  <c r="T79" i="3"/>
  <c r="C25" i="7"/>
  <c r="D25" i="7" s="1"/>
  <c r="C27" i="6" s="1"/>
  <c r="T249" i="3"/>
  <c r="C52" i="7"/>
  <c r="D52" i="7" s="1"/>
  <c r="C45" i="6" s="1"/>
  <c r="T17" i="3"/>
  <c r="C12" i="7"/>
  <c r="D12" i="7" s="1"/>
  <c r="C49" i="6" s="1"/>
  <c r="T222" i="3"/>
  <c r="C48" i="7"/>
  <c r="D48" i="7" s="1"/>
  <c r="C5" i="6" s="1"/>
  <c r="T117" i="3"/>
  <c r="C31" i="7"/>
  <c r="D31" i="7" s="1"/>
  <c r="C25" i="6" s="1"/>
  <c r="T32" i="3"/>
  <c r="C15" i="7"/>
  <c r="D15" i="7" s="1"/>
  <c r="C15" i="6" s="1"/>
  <c r="T291" i="3"/>
  <c r="C55" i="7"/>
  <c r="D55" i="7" s="1"/>
  <c r="C64" i="6" s="1"/>
  <c r="T337" i="3"/>
  <c r="C58" i="7"/>
  <c r="D58" i="7" s="1"/>
  <c r="C63" i="6" s="1"/>
  <c r="T247" i="3"/>
  <c r="C51" i="7"/>
  <c r="D51" i="7" s="1"/>
  <c r="C38" i="6" s="1"/>
  <c r="T161" i="3"/>
  <c r="C38" i="7"/>
  <c r="D38" i="7" s="1"/>
  <c r="C44" i="6" s="1"/>
  <c r="T265" i="3"/>
  <c r="C53" i="7"/>
  <c r="D53" i="7" s="1"/>
  <c r="C57" i="6" s="1"/>
  <c r="T305" i="3"/>
  <c r="C56" i="7"/>
  <c r="D56" i="7" s="1"/>
  <c r="C67" i="6" s="1"/>
  <c r="T8" i="3"/>
  <c r="C6" i="7"/>
  <c r="D6" i="7" s="1"/>
  <c r="C6" i="6" s="1"/>
  <c r="T64" i="3"/>
  <c r="C22" i="7"/>
  <c r="D22" i="7" s="1"/>
  <c r="C46" i="6" s="1"/>
  <c r="T307" i="3"/>
  <c r="C57" i="7"/>
  <c r="D57" i="7" s="1"/>
  <c r="C61" i="6" s="1"/>
  <c r="T177" i="3"/>
  <c r="C42" i="7"/>
  <c r="D42" i="7" s="1"/>
  <c r="C55" i="6" s="1"/>
  <c r="T353" i="3"/>
  <c r="C59" i="7"/>
  <c r="D59" i="7" s="1"/>
  <c r="C18" i="6" s="1"/>
  <c r="T636" i="3"/>
  <c r="C64" i="7"/>
  <c r="D64" i="7" s="1"/>
  <c r="T241" i="3"/>
  <c r="C50" i="7"/>
  <c r="D50" i="7" s="1"/>
  <c r="C52" i="6" s="1"/>
  <c r="T191" i="3"/>
  <c r="C45" i="7"/>
  <c r="D45" i="7" s="1"/>
  <c r="C36" i="6" s="1"/>
  <c r="T413" i="3"/>
  <c r="C62" i="7"/>
  <c r="D62" i="7" s="1"/>
  <c r="C48" i="6" s="1"/>
  <c r="T237" i="3"/>
  <c r="C49" i="7"/>
  <c r="D49" i="7" s="1"/>
  <c r="C58" i="6" s="1"/>
  <c r="T173" i="3"/>
  <c r="C41" i="7"/>
  <c r="D41" i="7" s="1"/>
  <c r="C50" i="6" s="1"/>
  <c r="T447" i="3"/>
  <c r="C63" i="7"/>
  <c r="D63" i="7" s="1"/>
  <c r="C65" i="6" s="1"/>
  <c r="T128" i="3"/>
  <c r="C35" i="7"/>
  <c r="D35" i="7" s="1"/>
  <c r="C2" i="6" s="1"/>
  <c r="T165" i="3"/>
  <c r="C39" i="7"/>
  <c r="D39" i="7" s="1"/>
  <c r="T214" i="3"/>
  <c r="C47" i="7"/>
  <c r="D47" i="7" s="1"/>
  <c r="C19" i="6" s="1"/>
  <c r="T368" i="3"/>
  <c r="C60" i="7"/>
  <c r="D60" i="7" s="1"/>
  <c r="C62" i="6" s="1"/>
  <c r="M26" i="5"/>
  <c r="B34" i="6"/>
  <c r="M52" i="5"/>
  <c r="B35" i="6"/>
  <c r="M35" i="5"/>
  <c r="B44" i="6"/>
  <c r="M9" i="5"/>
  <c r="B22" i="6"/>
  <c r="M8" i="5"/>
  <c r="B8" i="6"/>
  <c r="M17" i="5"/>
  <c r="B14" i="6"/>
  <c r="M6" i="5"/>
  <c r="B7" i="6"/>
  <c r="M16" i="5"/>
  <c r="B50" i="6"/>
  <c r="M13" i="5"/>
  <c r="B10" i="6"/>
  <c r="M11" i="5"/>
  <c r="B11" i="6"/>
  <c r="M14" i="5"/>
  <c r="B27" i="6"/>
  <c r="M50" i="5"/>
  <c r="B57" i="6"/>
  <c r="M56" i="5"/>
  <c r="B38" i="6"/>
  <c r="M25" i="5"/>
  <c r="B21" i="6"/>
  <c r="M10" i="5"/>
  <c r="B13" i="6"/>
  <c r="M32" i="5"/>
  <c r="B4" i="6"/>
  <c r="M28" i="5"/>
  <c r="B26" i="6"/>
  <c r="M30" i="5"/>
  <c r="B39" i="6"/>
  <c r="M57" i="5"/>
  <c r="B41" i="6"/>
  <c r="M12" i="5"/>
  <c r="B15" i="6"/>
  <c r="M51" i="5"/>
  <c r="B29" i="6"/>
  <c r="M34" i="5"/>
  <c r="B12" i="6"/>
  <c r="E12" i="6" s="1"/>
  <c r="M18" i="5"/>
  <c r="B2" i="6"/>
  <c r="M23" i="5"/>
  <c r="B16" i="6"/>
  <c r="M15" i="5"/>
  <c r="B23" i="6"/>
  <c r="M49" i="5"/>
  <c r="B60" i="6"/>
  <c r="M38" i="5"/>
  <c r="B36" i="6"/>
  <c r="M54" i="5"/>
  <c r="B58" i="6"/>
  <c r="M63" i="5"/>
  <c r="B66" i="6"/>
  <c r="M42" i="5"/>
  <c r="B46" i="6"/>
  <c r="M55" i="5"/>
  <c r="B56" i="6"/>
  <c r="M48" i="5"/>
  <c r="B5" i="6"/>
  <c r="M47" i="5"/>
  <c r="B55" i="6"/>
  <c r="M53" i="5"/>
  <c r="B48" i="6"/>
  <c r="M43" i="5"/>
  <c r="B45" i="6"/>
  <c r="M36" i="5"/>
  <c r="B52" i="6"/>
  <c r="M60" i="5"/>
  <c r="B61" i="6"/>
  <c r="M21" i="5"/>
  <c r="B20" i="6"/>
  <c r="M24" i="5"/>
  <c r="B25" i="6"/>
  <c r="M59" i="5"/>
  <c r="B51" i="6"/>
  <c r="M58" i="5"/>
  <c r="B64" i="6"/>
  <c r="M41" i="5"/>
  <c r="B49" i="6"/>
  <c r="M61" i="5"/>
  <c r="B63" i="6"/>
  <c r="M31" i="5"/>
  <c r="B3" i="6"/>
  <c r="M65" i="5"/>
  <c r="B65" i="6"/>
  <c r="M39" i="5"/>
  <c r="B19" i="6"/>
  <c r="M45" i="5"/>
  <c r="B18" i="6"/>
  <c r="M66" i="5"/>
  <c r="B53" i="6"/>
  <c r="M62" i="5"/>
  <c r="B62" i="6"/>
  <c r="M44" i="5"/>
  <c r="B37" i="6"/>
  <c r="M19" i="5"/>
  <c r="B32" i="6"/>
  <c r="M40" i="5"/>
  <c r="B43" i="6"/>
  <c r="M22" i="5"/>
  <c r="B24" i="6"/>
  <c r="M37" i="5"/>
  <c r="B31" i="6"/>
  <c r="M7" i="5"/>
  <c r="B9" i="6"/>
  <c r="M64" i="5"/>
  <c r="B67" i="6"/>
  <c r="M20" i="5"/>
  <c r="B17" i="6"/>
  <c r="M33" i="5"/>
  <c r="B47" i="6"/>
  <c r="M46" i="5"/>
  <c r="B40" i="6"/>
  <c r="M5" i="5"/>
  <c r="B6" i="6"/>
  <c r="K2" i="5"/>
  <c r="L2" i="5" s="1"/>
  <c r="M2" i="5" s="1"/>
  <c r="T1" i="3"/>
  <c r="U1" i="3" s="1"/>
  <c r="F3" i="6" l="1"/>
  <c r="E3" i="6"/>
  <c r="F14" i="6"/>
  <c r="E14" i="6"/>
  <c r="F10" i="6"/>
  <c r="E10" i="6"/>
  <c r="F7" i="6"/>
  <c r="E7" i="6"/>
  <c r="F60" i="6"/>
  <c r="E60" i="6"/>
  <c r="F20" i="6"/>
  <c r="E20" i="6"/>
  <c r="F23" i="6"/>
  <c r="E23" i="6"/>
  <c r="F11" i="6"/>
  <c r="E11" i="6"/>
  <c r="F16" i="6"/>
  <c r="E16" i="6"/>
  <c r="F9" i="6"/>
  <c r="E9" i="6"/>
  <c r="F66" i="6"/>
  <c r="E66" i="6"/>
  <c r="F22" i="6"/>
  <c r="E22" i="6"/>
  <c r="F21" i="6"/>
  <c r="E21" i="6"/>
  <c r="F13" i="6"/>
  <c r="E13" i="6"/>
  <c r="F41" i="6"/>
  <c r="E41" i="6"/>
  <c r="F26" i="6"/>
  <c r="E26" i="6"/>
  <c r="F17" i="6"/>
  <c r="E17" i="6"/>
  <c r="F24" i="6"/>
  <c r="E24" i="6"/>
  <c r="F47" i="6"/>
  <c r="E47" i="6"/>
  <c r="F8" i="6"/>
  <c r="E8" i="6"/>
  <c r="F43" i="6"/>
  <c r="E43" i="6"/>
  <c r="F40" i="6"/>
  <c r="E40" i="6"/>
  <c r="F39" i="6"/>
  <c r="E39" i="6"/>
  <c r="F32" i="6"/>
  <c r="E32" i="6"/>
  <c r="F29" i="6"/>
  <c r="E29" i="6"/>
  <c r="F53" i="6"/>
  <c r="E53" i="6"/>
  <c r="F35" i="6"/>
  <c r="E35" i="6"/>
  <c r="F51" i="6"/>
  <c r="E51" i="6"/>
  <c r="F33" i="6"/>
  <c r="E33" i="6"/>
  <c r="F4" i="6"/>
  <c r="E4" i="6"/>
  <c r="F56" i="6"/>
  <c r="E56" i="6"/>
  <c r="F34" i="6"/>
  <c r="E34" i="6"/>
  <c r="F31" i="6"/>
  <c r="E31" i="6"/>
  <c r="F37" i="6"/>
  <c r="E37" i="6"/>
  <c r="F27" i="6"/>
  <c r="E27" i="6"/>
  <c r="F45" i="6"/>
  <c r="E45" i="6"/>
  <c r="F49" i="6"/>
  <c r="E49" i="6"/>
  <c r="F5" i="6"/>
  <c r="E5" i="6"/>
  <c r="F25" i="6"/>
  <c r="E25" i="6"/>
  <c r="F15" i="6"/>
  <c r="E15" i="6"/>
  <c r="F64" i="6"/>
  <c r="E64" i="6"/>
  <c r="F63" i="6"/>
  <c r="E63" i="6"/>
  <c r="F38" i="6"/>
  <c r="E38" i="6"/>
  <c r="F44" i="6"/>
  <c r="E44" i="6"/>
  <c r="F57" i="6"/>
  <c r="E57" i="6"/>
  <c r="F67" i="6"/>
  <c r="E67" i="6"/>
  <c r="F6" i="6"/>
  <c r="E6" i="6"/>
  <c r="F46" i="6"/>
  <c r="E46" i="6"/>
  <c r="F61" i="6"/>
  <c r="E61" i="6"/>
  <c r="F55" i="6"/>
  <c r="E55" i="6"/>
  <c r="F18" i="6"/>
  <c r="E18" i="6"/>
  <c r="F52" i="6"/>
  <c r="E52" i="6"/>
  <c r="F36" i="6"/>
  <c r="E36" i="6"/>
  <c r="F48" i="6"/>
  <c r="E48" i="6"/>
  <c r="F58" i="6"/>
  <c r="E58" i="6"/>
  <c r="F50" i="6"/>
  <c r="E50" i="6"/>
  <c r="F65" i="6"/>
  <c r="E65" i="6"/>
  <c r="F2" i="6"/>
  <c r="E2" i="6"/>
  <c r="F19" i="6"/>
  <c r="E19" i="6"/>
  <c r="F62" i="6"/>
  <c r="E62" i="6"/>
</calcChain>
</file>

<file path=xl/sharedStrings.xml><?xml version="1.0" encoding="utf-8"?>
<sst xmlns="http://schemas.openxmlformats.org/spreadsheetml/2006/main" count="1899" uniqueCount="289">
  <si>
    <t>CD_BAIRRO</t>
  </si>
  <si>
    <t>Cidade</t>
  </si>
  <si>
    <t>NM_BAIRRO</t>
  </si>
  <si>
    <t>V06001</t>
  </si>
  <si>
    <t>V06002</t>
  </si>
  <si>
    <t>V06003</t>
  </si>
  <si>
    <t>V06004</t>
  </si>
  <si>
    <t>V06005</t>
  </si>
  <si>
    <t>V06006</t>
  </si>
  <si>
    <t>Piracicaba</t>
  </si>
  <si>
    <t>Unileste</t>
  </si>
  <si>
    <t>2,02</t>
  </si>
  <si>
    <t>327054042,73</t>
  </si>
  <si>
    <t>Morato</t>
  </si>
  <si>
    <t>1,25</t>
  </si>
  <si>
    <t>118397453,21</t>
  </si>
  <si>
    <t>Monte Alegre</t>
  </si>
  <si>
    <t>1,70</t>
  </si>
  <si>
    <t>210454724,14</t>
  </si>
  <si>
    <t>Santa Rosa</t>
  </si>
  <si>
    <t>1,66</t>
  </si>
  <si>
    <t>248560739,35</t>
  </si>
  <si>
    <t>Cidade Jardim</t>
  </si>
  <si>
    <t>1,28</t>
  </si>
  <si>
    <t>79144466,60</t>
  </si>
  <si>
    <t>Nova Piracicaba</t>
  </si>
  <si>
    <t>1,31</t>
  </si>
  <si>
    <t>86569740,12</t>
  </si>
  <si>
    <t>Centro</t>
  </si>
  <si>
    <t>1,32</t>
  </si>
  <si>
    <t>279269144,45</t>
  </si>
  <si>
    <t>Jardim Elite</t>
  </si>
  <si>
    <t>1,17</t>
  </si>
  <si>
    <t>116955290,75</t>
  </si>
  <si>
    <t>São Dimas</t>
  </si>
  <si>
    <t>1,27</t>
  </si>
  <si>
    <t>59512311,12</t>
  </si>
  <si>
    <t>São Judas</t>
  </si>
  <si>
    <t>1,22</t>
  </si>
  <si>
    <t>63932986,56</t>
  </si>
  <si>
    <t>Taquaral</t>
  </si>
  <si>
    <t>1,04</t>
  </si>
  <si>
    <t>41598580,30</t>
  </si>
  <si>
    <t>Jardim Abaeté</t>
  </si>
  <si>
    <t>961846916,41</t>
  </si>
  <si>
    <t>Cidade Alta</t>
  </si>
  <si>
    <t>1,35</t>
  </si>
  <si>
    <t>49029277,84</t>
  </si>
  <si>
    <t>Santa Cecília</t>
  </si>
  <si>
    <t>1,24</t>
  </si>
  <si>
    <t>33751227,18</t>
  </si>
  <si>
    <t>Vila Independência</t>
  </si>
  <si>
    <t>1,38</t>
  </si>
  <si>
    <t>287697529,62</t>
  </si>
  <si>
    <t>Nova América</t>
  </si>
  <si>
    <t>1,37</t>
  </si>
  <si>
    <t>28195970,02</t>
  </si>
  <si>
    <t>Ondinhas</t>
  </si>
  <si>
    <t>1,67</t>
  </si>
  <si>
    <t>40644234,08</t>
  </si>
  <si>
    <t>Ondas</t>
  </si>
  <si>
    <t>53223655,85</t>
  </si>
  <si>
    <t>Castelinho</t>
  </si>
  <si>
    <t>1,39</t>
  </si>
  <si>
    <t>30772145,24</t>
  </si>
  <si>
    <t>Dois Córregos</t>
  </si>
  <si>
    <t>1,40</t>
  </si>
  <si>
    <t>30497486,28</t>
  </si>
  <si>
    <t>Clube de Campo</t>
  </si>
  <si>
    <t>0,96</t>
  </si>
  <si>
    <t>32631634,42</t>
  </si>
  <si>
    <t>Vila Monteiro</t>
  </si>
  <si>
    <t>1,36</t>
  </si>
  <si>
    <t>23651084,58</t>
  </si>
  <si>
    <t>Higienópolis</t>
  </si>
  <si>
    <t>1,54</t>
  </si>
  <si>
    <t>18600312,59</t>
  </si>
  <si>
    <t>Glebas Califórnia</t>
  </si>
  <si>
    <t>18509230,79</t>
  </si>
  <si>
    <t>Morumbi</t>
  </si>
  <si>
    <t>1,44</t>
  </si>
  <si>
    <t>19473424,60</t>
  </si>
  <si>
    <t>Jardim Monumento</t>
  </si>
  <si>
    <t>1,33</t>
  </si>
  <si>
    <t>11163227,90</t>
  </si>
  <si>
    <t>Santa Helena</t>
  </si>
  <si>
    <t>1,42</t>
  </si>
  <si>
    <t>19937457,64</t>
  </si>
  <si>
    <t>Santa Rita</t>
  </si>
  <si>
    <t>2,31</t>
  </si>
  <si>
    <t>19068767,51</t>
  </si>
  <si>
    <t>Água das Pedras</t>
  </si>
  <si>
    <t>1,59</t>
  </si>
  <si>
    <t>18265979,81</t>
  </si>
  <si>
    <t>Jardim Califórnia</t>
  </si>
  <si>
    <t>8340103,90</t>
  </si>
  <si>
    <t>Bairro Verde</t>
  </si>
  <si>
    <t>1,48</t>
  </si>
  <si>
    <t>10189723,45</t>
  </si>
  <si>
    <t>1,51</t>
  </si>
  <si>
    <t>9926153,75</t>
  </si>
  <si>
    <t>15957074,46</t>
  </si>
  <si>
    <t>Jardim São Francisco</t>
  </si>
  <si>
    <t>1,57</t>
  </si>
  <si>
    <t>532983184,72</t>
  </si>
  <si>
    <t>Areião</t>
  </si>
  <si>
    <t>1,58</t>
  </si>
  <si>
    <t>10357417,69</t>
  </si>
  <si>
    <t>Água Branca</t>
  </si>
  <si>
    <t>1,80</t>
  </si>
  <si>
    <t>13755518,97</t>
  </si>
  <si>
    <t>Conceição</t>
  </si>
  <si>
    <t>1,77</t>
  </si>
  <si>
    <t>44108599,44</t>
  </si>
  <si>
    <t>Piracicamirim</t>
  </si>
  <si>
    <t>9390969,70</t>
  </si>
  <si>
    <t>Paulicéia</t>
  </si>
  <si>
    <t>1,72</t>
  </si>
  <si>
    <t>13005344,99</t>
  </si>
  <si>
    <t>Pompéia</t>
  </si>
  <si>
    <t>1,62</t>
  </si>
  <si>
    <t>17694951,66</t>
  </si>
  <si>
    <t>Dona Antônia</t>
  </si>
  <si>
    <t>1,55</t>
  </si>
  <si>
    <t>12083048,57</t>
  </si>
  <si>
    <t>Campestre</t>
  </si>
  <si>
    <t>19304332,23</t>
  </si>
  <si>
    <t>Nhô Quim</t>
  </si>
  <si>
    <t>13205237,63</t>
  </si>
  <si>
    <t>Vila Fátima</t>
  </si>
  <si>
    <t>1,64</t>
  </si>
  <si>
    <t>5444484,36</t>
  </si>
  <si>
    <t>Guamium</t>
  </si>
  <si>
    <t>1,68</t>
  </si>
  <si>
    <t>9205024,01</t>
  </si>
  <si>
    <t>Paulista</t>
  </si>
  <si>
    <t>1,71</t>
  </si>
  <si>
    <t>9852193,02</t>
  </si>
  <si>
    <t>Vale do Sol</t>
  </si>
  <si>
    <t>11783309,97</t>
  </si>
  <si>
    <t>Jardim Jupiá</t>
  </si>
  <si>
    <t>5680835,95</t>
  </si>
  <si>
    <t>Parque da Rua do Porto</t>
  </si>
  <si>
    <t>2,05</t>
  </si>
  <si>
    <t>17268998,54</t>
  </si>
  <si>
    <t>Jaraguá</t>
  </si>
  <si>
    <t>4882867,86</t>
  </si>
  <si>
    <t>Vila Industrial</t>
  </si>
  <si>
    <t>6798862,75</t>
  </si>
  <si>
    <t>São Jorge</t>
  </si>
  <si>
    <t>2,21</t>
  </si>
  <si>
    <t>15977189,63</t>
  </si>
  <si>
    <t>Chicó</t>
  </si>
  <si>
    <t>2,24</t>
  </si>
  <si>
    <t>3732173,93</t>
  </si>
  <si>
    <t>Santa Terezinha</t>
  </si>
  <si>
    <t>3441730,77</t>
  </si>
  <si>
    <t>Jardim Primavera</t>
  </si>
  <si>
    <t>3007813,45</t>
  </si>
  <si>
    <t>CECAP</t>
  </si>
  <si>
    <t>3927001,54</t>
  </si>
  <si>
    <t>Parque Residencial Piracicaba</t>
  </si>
  <si>
    <t>1,78</t>
  </si>
  <si>
    <t>2489713,24</t>
  </si>
  <si>
    <t>Itaperu</t>
  </si>
  <si>
    <t>2,69</t>
  </si>
  <si>
    <t>3523620,47</t>
  </si>
  <si>
    <t>Algodoal</t>
  </si>
  <si>
    <t>1,97</t>
  </si>
  <si>
    <t>4065214,89</t>
  </si>
  <si>
    <t>Vila Sônia</t>
  </si>
  <si>
    <t>1,85</t>
  </si>
  <si>
    <t>2053727,74</t>
  </si>
  <si>
    <t>Vila Cristina</t>
  </si>
  <si>
    <t>2,23</t>
  </si>
  <si>
    <t>2805643,20</t>
  </si>
  <si>
    <t>Jardim Planalto</t>
  </si>
  <si>
    <t>2,14</t>
  </si>
  <si>
    <t>2670642,51</t>
  </si>
  <si>
    <t>Jardim Itapuã</t>
  </si>
  <si>
    <t>1,93</t>
  </si>
  <si>
    <t>13706063,24</t>
  </si>
  <si>
    <t>Novo Horizonte</t>
  </si>
  <si>
    <t>2,09</t>
  </si>
  <si>
    <t>2100921,46</t>
  </si>
  <si>
    <t>Mário Dedini</t>
  </si>
  <si>
    <t>2,61</t>
  </si>
  <si>
    <t>2313156,80</t>
  </si>
  <si>
    <t>Monte Líbano</t>
  </si>
  <si>
    <t>2,22</t>
  </si>
  <si>
    <t>1936137,46</t>
  </si>
  <si>
    <t>Cidade Judiciária</t>
  </si>
  <si>
    <t>1,86</t>
  </si>
  <si>
    <t>718115,73</t>
  </si>
  <si>
    <t>Pessoas responsáveis em domicílios particulares permanentes ocupados</t>
  </si>
  <si>
    <t>Moradores em domicílios particulares permanentes ocupados</t>
  </si>
  <si>
    <t>Variância do número de moradores em domicílios particulares permanentes ocupados</t>
  </si>
  <si>
    <t>Valor do rendimento nominal médio mensal das pessoas responsáveis com rendimentos por domicílios particulares permanentes ocupados</t>
  </si>
  <si>
    <t>Variância do rendimento nominal mensal das pessoas responsáveis com rendimentos por domicílios particulares permanentes ocupados</t>
  </si>
  <si>
    <t>Valor do rendimento nominal mediano mensal das pessoas responsáveis com rendimentos por domicílios particulares permanentes ocupados</t>
  </si>
  <si>
    <t>Cod_setor</t>
  </si>
  <si>
    <t>Bairro</t>
  </si>
  <si>
    <t>Situacao_setor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</si>
  <si>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</si>
  <si>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</si>
  <si>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</si>
  <si>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</si>
  <si>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</si>
  <si>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</si>
  <si>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</si>
  <si>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</si>
  <si>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</si>
  <si>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</si>
  <si>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</si>
  <si>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</si>
  <si>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</si>
  <si>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</si>
  <si>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PIRACICABA</t>
  </si>
  <si>
    <t>PIRACICABA (demais setores)</t>
  </si>
  <si>
    <t>Jardim Caxambú</t>
  </si>
  <si>
    <t>Vila Rezende</t>
  </si>
  <si>
    <t>Água Santa</t>
  </si>
  <si>
    <t>Agronomia</t>
  </si>
  <si>
    <t>Variável</t>
  </si>
  <si>
    <t>Nome Curto (De/Para)</t>
  </si>
  <si>
    <t>Nome Rótulo IBGE</t>
  </si>
  <si>
    <t>Descrição Detalhada Oficial IBGE</t>
  </si>
  <si>
    <t>Dom_Sem_Renda</t>
  </si>
  <si>
    <t>Domicílios sem rendimento</t>
  </si>
  <si>
    <t>Pessoas responsáveis em domicílios particulares permanentes urbanos/rurais sem rendimento nominal mensal</t>
  </si>
  <si>
    <t>Rendimento_Total_Setor</t>
  </si>
  <si>
    <t>Rendimento total do setor</t>
  </si>
  <si>
    <t>Valor do rendimento nominal mensal das pessoas responsáveis por domicílios particulares permanentes</t>
  </si>
  <si>
    <t>Rendimento_Total_DPP</t>
  </si>
  <si>
    <t>Rendimento total (DPP)</t>
  </si>
  <si>
    <t>Valor do rendimento nominal mensal das pessoas responsáveis por domicílios particulares permanentes com rendimento</t>
  </si>
  <si>
    <t>Rendimento_Total_Improvisado</t>
  </si>
  <si>
    <t>Rendimento total (Improvisados)</t>
  </si>
  <si>
    <t>Valor do rendimento nominal mensal das pessoas responsáveis por domicílios particulares improvisados</t>
  </si>
  <si>
    <t>Ate_1_8_SM</t>
  </si>
  <si>
    <t>Até 1/8 SM</t>
  </si>
  <si>
    <t>Pessoas responsáveis em domicílios particulares permanentes com rendimento nominal mensal de até 1/8 de salário mínimo</t>
  </si>
  <si>
    <t>De_1_8_a_1_4_SM</t>
  </si>
  <si>
    <t>Mais de 1/8 a 1/4 SM</t>
  </si>
  <si>
    <t>Pessoas responsáveis em domicílios particulares permanentes com rendimento nominal mensal de mais de 1/8 a 1/4 de salário mínimo</t>
  </si>
  <si>
    <t>De_1_4_a_1_2_SM</t>
  </si>
  <si>
    <t>Mais de 1/4 a 1/2 SM</t>
  </si>
  <si>
    <t>Pessoas responsáveis em domicílios particulares permanentes com rendimento nominal mensal de mais de 1/4 a 1/2 salário mínimo</t>
  </si>
  <si>
    <t>De_1_2_a_1_SM</t>
  </si>
  <si>
    <t>Mais de 1/2 a 1 SM</t>
  </si>
  <si>
    <t>Pessoas responsáveis em domicílios particulares permanentes com rendimento nominal mensal de mais de 1/2 a 1 salário mínimo</t>
  </si>
  <si>
    <t>De_1_a_2_SM</t>
  </si>
  <si>
    <t>Mais de 1 a 2 SM</t>
  </si>
  <si>
    <t>Pessoas responsáveis em domicílios particulares permanentes com rendimento nominal mensal de mais de 1 a 2 salários mínimos</t>
  </si>
  <si>
    <t>De_2_a_3_SM</t>
  </si>
  <si>
    <t>Mais de 2 a 3 SM</t>
  </si>
  <si>
    <t>Pessoas responsáveis em domicílios particulares permanentes com rendimento nominal mensal de mais de 2 a 3 salários mínimos</t>
  </si>
  <si>
    <t>De_3_a_5_SM</t>
  </si>
  <si>
    <t>Mais de 3 a 5 SM</t>
  </si>
  <si>
    <t>Pessoas responsáveis em domicílios particulares permanentes com rendimento nominal mensal de mais de 3 a 5 salários mínimos</t>
  </si>
  <si>
    <t>De_5_a_10_SM</t>
  </si>
  <si>
    <t>Mais de 5 a 10 SM</t>
  </si>
  <si>
    <t>Pessoas responsáveis em domicílios particulares permanentes com rendimento nominal mensal de mais de 5 a 10 salários mínimos</t>
  </si>
  <si>
    <t>Mais_de_10_SM</t>
  </si>
  <si>
    <t>Mais de 10 SM</t>
  </si>
  <si>
    <t>Pessoas responsáveis em domicílios particulares permanentes com rendimento nominal mensal de mais de 10 salários mínimos</t>
  </si>
  <si>
    <t>Sem_Rendimento_Contagem</t>
  </si>
  <si>
    <t>Sem rendimento (Contagem)</t>
  </si>
  <si>
    <t>Pessoas responsáveis em domicílios particulares permanentes sem rendimento nominal mensal</t>
  </si>
  <si>
    <t>Até 1/2 salário</t>
  </si>
  <si>
    <t>Mais de 1/2 a 1 salário</t>
  </si>
  <si>
    <t>Mais de 1 a 2 salários</t>
  </si>
  <si>
    <t>Mais de 2 a 3 salários</t>
  </si>
  <si>
    <t>Mais de 3 a 5 salários</t>
  </si>
  <si>
    <t>Mais de 5 a 10 salários</t>
  </si>
  <si>
    <t>Mais de 10 a 15 salários</t>
  </si>
  <si>
    <t>Mais de 15 a 20 salários</t>
  </si>
  <si>
    <t>Mais de 20 salários</t>
  </si>
  <si>
    <t>Total</t>
  </si>
  <si>
    <t>Média</t>
  </si>
  <si>
    <t>Salário Médio</t>
  </si>
  <si>
    <t>Total estimado</t>
  </si>
  <si>
    <t>Conversão</t>
  </si>
  <si>
    <t>SOMA</t>
  </si>
  <si>
    <t>TOTAL</t>
  </si>
  <si>
    <t>MpEDIA</t>
  </si>
  <si>
    <t>BAIRRO</t>
  </si>
  <si>
    <t>delta 00 - 10</t>
  </si>
  <si>
    <t>delta 10 - 22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</si>
</sst>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  <numFmt numFmtId="165" formatCode="#,##0_ ;\-#,##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 applyAlignment="1">
      <alignment wrapText="1"/>
    </xf>
    <xf numFmtId="0" fontId="0" fillId="0" borderId="0" xfId="1" applyNumberFormat="1" applyFont="1" applyAlignment="1">
      <alignment horizontal="center" vertical="center"/>
    </xf>
    <xf numFmtId="9" fontId="0" fillId="0" borderId="0" xfId="2" applyFont="1"/>
    <xf numFmtId="0" fontId="0" fillId="0" borderId="0" xfId="2" applyNumberFormat="1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I69"/>
  <sheetViews>
    <sheetView workbookViewId="0">
      <selection activeCell="C70" sqref="C70"/>
    </sheetView>
  </sheetViews>
  <sheetFormatPr defaultRowHeight="14.4" x14ac:dyDescent="0.3"/>
  <cols>
    <col min="7" max="7" width="12.88671875" style="1" bestFit="1" customWidth="1"/>
    <col min="9" max="9" width="12.88671875" style="1" bestFit="1" customWidth="1"/>
  </cols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6</v>
      </c>
      <c r="H2" t="s">
        <v>7</v>
      </c>
      <c r="I2" s="1" t="s">
        <v>8</v>
      </c>
    </row>
    <row r="3" spans="1:9" hidden="1" x14ac:dyDescent="0.3">
      <c r="A3">
        <v>3538709019</v>
      </c>
      <c r="B3" t="s">
        <v>9</v>
      </c>
      <c r="C3" t="s">
        <v>10</v>
      </c>
      <c r="D3">
        <v>51</v>
      </c>
      <c r="E3">
        <v>150</v>
      </c>
      <c r="F3" t="s">
        <v>11</v>
      </c>
      <c r="G3" s="1">
        <v>17049.62</v>
      </c>
      <c r="H3" t="s">
        <v>12</v>
      </c>
      <c r="I3" s="1">
        <v>12500</v>
      </c>
    </row>
    <row r="4" spans="1:9" hidden="1" x14ac:dyDescent="0.3">
      <c r="A4">
        <v>3538709042</v>
      </c>
      <c r="B4" t="s">
        <v>9</v>
      </c>
      <c r="C4" t="s">
        <v>13</v>
      </c>
      <c r="D4">
        <v>1204</v>
      </c>
      <c r="E4">
        <v>3655</v>
      </c>
      <c r="F4" t="s">
        <v>14</v>
      </c>
      <c r="G4" s="1">
        <v>14384.62</v>
      </c>
      <c r="H4" t="s">
        <v>15</v>
      </c>
      <c r="I4" s="1">
        <v>11000</v>
      </c>
    </row>
    <row r="5" spans="1:9" hidden="1" x14ac:dyDescent="0.3">
      <c r="A5">
        <v>3538709020</v>
      </c>
      <c r="B5" t="s">
        <v>9</v>
      </c>
      <c r="C5" t="s">
        <v>16</v>
      </c>
      <c r="D5">
        <v>280</v>
      </c>
      <c r="E5">
        <v>828</v>
      </c>
      <c r="F5" t="s">
        <v>17</v>
      </c>
      <c r="G5" s="1">
        <v>12007.46</v>
      </c>
      <c r="H5" t="s">
        <v>18</v>
      </c>
      <c r="I5" s="1">
        <v>4500</v>
      </c>
    </row>
    <row r="6" spans="1:9" hidden="1" x14ac:dyDescent="0.3">
      <c r="A6">
        <v>3538709056</v>
      </c>
      <c r="B6" t="s">
        <v>9</v>
      </c>
      <c r="C6" t="s">
        <v>19</v>
      </c>
      <c r="D6">
        <v>2135</v>
      </c>
      <c r="E6">
        <v>6443</v>
      </c>
      <c r="F6" t="s">
        <v>20</v>
      </c>
      <c r="G6" s="1">
        <v>8287.93</v>
      </c>
      <c r="H6" t="s">
        <v>21</v>
      </c>
      <c r="I6" s="1">
        <v>3500</v>
      </c>
    </row>
    <row r="7" spans="1:9" hidden="1" x14ac:dyDescent="0.3">
      <c r="A7">
        <v>3538709003</v>
      </c>
      <c r="B7" t="s">
        <v>9</v>
      </c>
      <c r="C7" t="s">
        <v>22</v>
      </c>
      <c r="D7">
        <v>685</v>
      </c>
      <c r="E7">
        <v>1382</v>
      </c>
      <c r="F7" t="s">
        <v>23</v>
      </c>
      <c r="G7" s="1">
        <v>8248.31</v>
      </c>
      <c r="H7" t="s">
        <v>24</v>
      </c>
      <c r="I7" s="1">
        <v>5200</v>
      </c>
    </row>
    <row r="8" spans="1:9" hidden="1" x14ac:dyDescent="0.3">
      <c r="A8">
        <v>3538709045</v>
      </c>
      <c r="B8" t="s">
        <v>9</v>
      </c>
      <c r="C8" t="s">
        <v>25</v>
      </c>
      <c r="D8">
        <v>2819</v>
      </c>
      <c r="E8">
        <v>7708</v>
      </c>
      <c r="F8" t="s">
        <v>26</v>
      </c>
      <c r="G8" s="1">
        <v>8008.18</v>
      </c>
      <c r="H8" t="s">
        <v>27</v>
      </c>
      <c r="I8" s="1">
        <v>5000</v>
      </c>
    </row>
    <row r="9" spans="1:9" hidden="1" x14ac:dyDescent="0.3">
      <c r="A9">
        <v>3538709001</v>
      </c>
      <c r="B9" t="s">
        <v>9</v>
      </c>
      <c r="C9" t="s">
        <v>28</v>
      </c>
      <c r="D9">
        <v>5602</v>
      </c>
      <c r="E9">
        <v>12025</v>
      </c>
      <c r="F9" t="s">
        <v>29</v>
      </c>
      <c r="G9" s="1">
        <v>7281.06</v>
      </c>
      <c r="H9" t="s">
        <v>30</v>
      </c>
      <c r="I9" s="1">
        <v>4500</v>
      </c>
    </row>
    <row r="10" spans="1:9" hidden="1" x14ac:dyDescent="0.3">
      <c r="A10">
        <v>3538709006</v>
      </c>
      <c r="B10" t="s">
        <v>9</v>
      </c>
      <c r="C10" t="s">
        <v>31</v>
      </c>
      <c r="D10">
        <v>2349</v>
      </c>
      <c r="E10">
        <v>5386</v>
      </c>
      <c r="F10" t="s">
        <v>32</v>
      </c>
      <c r="G10" s="1">
        <v>7081.17</v>
      </c>
      <c r="H10" t="s">
        <v>33</v>
      </c>
      <c r="I10" s="1">
        <v>5000</v>
      </c>
    </row>
    <row r="11" spans="1:9" hidden="1" x14ac:dyDescent="0.3">
      <c r="A11">
        <v>3538709013</v>
      </c>
      <c r="B11" t="s">
        <v>9</v>
      </c>
      <c r="C11" t="s">
        <v>34</v>
      </c>
      <c r="D11">
        <v>1688</v>
      </c>
      <c r="E11">
        <v>3757</v>
      </c>
      <c r="F11" t="s">
        <v>35</v>
      </c>
      <c r="G11" s="1">
        <v>6809.11</v>
      </c>
      <c r="H11" t="s">
        <v>36</v>
      </c>
      <c r="I11" s="1">
        <v>4000</v>
      </c>
    </row>
    <row r="12" spans="1:9" hidden="1" x14ac:dyDescent="0.3">
      <c r="A12">
        <v>3538709012</v>
      </c>
      <c r="B12" t="s">
        <v>9</v>
      </c>
      <c r="C12" t="s">
        <v>37</v>
      </c>
      <c r="D12">
        <v>1458</v>
      </c>
      <c r="E12">
        <v>3275</v>
      </c>
      <c r="F12" t="s">
        <v>38</v>
      </c>
      <c r="G12" s="1">
        <v>6608.51</v>
      </c>
      <c r="H12" t="s">
        <v>39</v>
      </c>
      <c r="I12" s="1">
        <v>4000</v>
      </c>
    </row>
    <row r="13" spans="1:9" hidden="1" x14ac:dyDescent="0.3">
      <c r="A13">
        <v>3538709024</v>
      </c>
      <c r="B13" t="s">
        <v>9</v>
      </c>
      <c r="C13" t="s">
        <v>40</v>
      </c>
      <c r="D13">
        <v>535</v>
      </c>
      <c r="E13">
        <v>1535</v>
      </c>
      <c r="F13" t="s">
        <v>41</v>
      </c>
      <c r="G13" s="1">
        <v>6546.64</v>
      </c>
      <c r="H13" t="s">
        <v>42</v>
      </c>
      <c r="I13" s="1">
        <v>4000</v>
      </c>
    </row>
    <row r="14" spans="1:9" hidden="1" x14ac:dyDescent="0.3">
      <c r="A14">
        <v>3538709016</v>
      </c>
      <c r="B14" t="s">
        <v>9</v>
      </c>
      <c r="C14" t="s">
        <v>43</v>
      </c>
      <c r="D14">
        <v>689</v>
      </c>
      <c r="E14">
        <v>1699</v>
      </c>
      <c r="F14" t="s">
        <v>23</v>
      </c>
      <c r="G14" s="1">
        <v>6404.5</v>
      </c>
      <c r="H14" t="s">
        <v>44</v>
      </c>
      <c r="I14" s="1">
        <v>3900</v>
      </c>
    </row>
    <row r="15" spans="1:9" hidden="1" x14ac:dyDescent="0.3">
      <c r="A15">
        <v>3538709002</v>
      </c>
      <c r="B15" t="s">
        <v>9</v>
      </c>
      <c r="C15" t="s">
        <v>45</v>
      </c>
      <c r="D15">
        <v>5699</v>
      </c>
      <c r="E15">
        <v>12567</v>
      </c>
      <c r="F15" t="s">
        <v>46</v>
      </c>
      <c r="G15" s="1">
        <v>5896.4</v>
      </c>
      <c r="H15" t="s">
        <v>47</v>
      </c>
      <c r="I15" s="1">
        <v>3600</v>
      </c>
    </row>
    <row r="16" spans="1:9" hidden="1" x14ac:dyDescent="0.3">
      <c r="A16">
        <v>3538709015</v>
      </c>
      <c r="B16" t="s">
        <v>9</v>
      </c>
      <c r="C16" t="s">
        <v>48</v>
      </c>
      <c r="D16">
        <v>1508</v>
      </c>
      <c r="E16">
        <v>3817</v>
      </c>
      <c r="F16" t="s">
        <v>49</v>
      </c>
      <c r="G16" s="1">
        <v>5737.33</v>
      </c>
      <c r="H16" t="s">
        <v>50</v>
      </c>
      <c r="I16" s="1">
        <v>4000</v>
      </c>
    </row>
    <row r="17" spans="1:9" hidden="1" x14ac:dyDescent="0.3">
      <c r="A17">
        <v>3538709011</v>
      </c>
      <c r="B17" t="s">
        <v>9</v>
      </c>
      <c r="C17" t="s">
        <v>51</v>
      </c>
      <c r="D17">
        <v>2669</v>
      </c>
      <c r="E17">
        <v>6216</v>
      </c>
      <c r="F17" t="s">
        <v>52</v>
      </c>
      <c r="G17" s="1">
        <v>5420.52</v>
      </c>
      <c r="H17" t="s">
        <v>53</v>
      </c>
      <c r="I17" s="1">
        <v>3000</v>
      </c>
    </row>
    <row r="18" spans="1:9" hidden="1" x14ac:dyDescent="0.3">
      <c r="A18">
        <v>3538709007</v>
      </c>
      <c r="B18" t="s">
        <v>9</v>
      </c>
      <c r="C18" t="s">
        <v>54</v>
      </c>
      <c r="D18">
        <v>3051</v>
      </c>
      <c r="E18">
        <v>7264</v>
      </c>
      <c r="F18" t="s">
        <v>55</v>
      </c>
      <c r="G18" s="1">
        <v>5354.9</v>
      </c>
      <c r="H18" t="s">
        <v>56</v>
      </c>
      <c r="I18" s="1">
        <v>3600</v>
      </c>
    </row>
    <row r="19" spans="1:9" hidden="1" x14ac:dyDescent="0.3">
      <c r="A19">
        <v>3538709062</v>
      </c>
      <c r="B19" t="s">
        <v>9</v>
      </c>
      <c r="C19" t="s">
        <v>57</v>
      </c>
      <c r="D19">
        <v>116</v>
      </c>
      <c r="E19">
        <v>314</v>
      </c>
      <c r="F19" t="s">
        <v>58</v>
      </c>
      <c r="G19" s="1">
        <v>5228.8900000000003</v>
      </c>
      <c r="H19" t="s">
        <v>59</v>
      </c>
      <c r="I19" s="1">
        <v>3000</v>
      </c>
    </row>
    <row r="20" spans="1:9" hidden="1" x14ac:dyDescent="0.3">
      <c r="A20">
        <v>3538709061</v>
      </c>
      <c r="B20" t="s">
        <v>9</v>
      </c>
      <c r="C20" t="s">
        <v>60</v>
      </c>
      <c r="D20">
        <v>2359</v>
      </c>
      <c r="E20">
        <v>5913</v>
      </c>
      <c r="F20" t="s">
        <v>32</v>
      </c>
      <c r="G20" s="1">
        <v>5212.63</v>
      </c>
      <c r="H20" t="s">
        <v>61</v>
      </c>
      <c r="I20" s="1">
        <v>3000</v>
      </c>
    </row>
    <row r="21" spans="1:9" hidden="1" x14ac:dyDescent="0.3">
      <c r="A21">
        <v>3538709037</v>
      </c>
      <c r="B21" t="s">
        <v>9</v>
      </c>
      <c r="C21" t="s">
        <v>62</v>
      </c>
      <c r="D21">
        <v>1203</v>
      </c>
      <c r="E21">
        <v>3181</v>
      </c>
      <c r="F21" t="s">
        <v>63</v>
      </c>
      <c r="G21" s="1">
        <v>5190.04</v>
      </c>
      <c r="H21" t="s">
        <v>64</v>
      </c>
      <c r="I21" s="1">
        <v>4000</v>
      </c>
    </row>
    <row r="22" spans="1:9" hidden="1" x14ac:dyDescent="0.3">
      <c r="A22">
        <v>3538709018</v>
      </c>
      <c r="B22" t="s">
        <v>9</v>
      </c>
      <c r="C22" t="s">
        <v>65</v>
      </c>
      <c r="D22">
        <v>4329</v>
      </c>
      <c r="E22">
        <v>11011</v>
      </c>
      <c r="F22" t="s">
        <v>66</v>
      </c>
      <c r="G22" s="1">
        <v>5104.5200000000004</v>
      </c>
      <c r="H22" t="s">
        <v>67</v>
      </c>
      <c r="I22" s="1">
        <v>3500</v>
      </c>
    </row>
    <row r="23" spans="1:9" hidden="1" x14ac:dyDescent="0.3">
      <c r="A23">
        <v>3538709004</v>
      </c>
      <c r="B23" t="s">
        <v>9</v>
      </c>
      <c r="C23" t="s">
        <v>68</v>
      </c>
      <c r="D23">
        <v>157</v>
      </c>
      <c r="E23">
        <v>263</v>
      </c>
      <c r="F23" t="s">
        <v>69</v>
      </c>
      <c r="G23" s="1">
        <v>4991.6899999999996</v>
      </c>
      <c r="H23" t="s">
        <v>70</v>
      </c>
      <c r="I23" s="1">
        <v>2525</v>
      </c>
    </row>
    <row r="24" spans="1:9" hidden="1" x14ac:dyDescent="0.3">
      <c r="A24">
        <v>3538709010</v>
      </c>
      <c r="B24" t="s">
        <v>9</v>
      </c>
      <c r="C24" t="s">
        <v>71</v>
      </c>
      <c r="D24">
        <v>2918</v>
      </c>
      <c r="E24">
        <v>7047</v>
      </c>
      <c r="F24" t="s">
        <v>72</v>
      </c>
      <c r="G24" s="1">
        <v>4968.88</v>
      </c>
      <c r="H24" t="s">
        <v>73</v>
      </c>
      <c r="I24" s="1">
        <v>3500</v>
      </c>
    </row>
    <row r="25" spans="1:9" hidden="1" x14ac:dyDescent="0.3">
      <c r="A25">
        <v>3538709005</v>
      </c>
      <c r="B25" t="s">
        <v>9</v>
      </c>
      <c r="C25" t="s">
        <v>74</v>
      </c>
      <c r="D25">
        <v>848</v>
      </c>
      <c r="E25">
        <v>1832</v>
      </c>
      <c r="F25" t="s">
        <v>75</v>
      </c>
      <c r="G25" s="1">
        <v>4364.37</v>
      </c>
      <c r="H25" t="s">
        <v>76</v>
      </c>
      <c r="I25" s="1">
        <v>3000</v>
      </c>
    </row>
    <row r="26" spans="1:9" hidden="1" x14ac:dyDescent="0.3">
      <c r="A26">
        <v>3538709043</v>
      </c>
      <c r="B26" t="s">
        <v>9</v>
      </c>
      <c r="C26" t="s">
        <v>77</v>
      </c>
      <c r="D26">
        <v>1838</v>
      </c>
      <c r="E26">
        <v>4247</v>
      </c>
      <c r="F26" t="s">
        <v>38</v>
      </c>
      <c r="G26" s="1">
        <v>4352.32</v>
      </c>
      <c r="H26" t="s">
        <v>78</v>
      </c>
      <c r="I26" s="1">
        <v>3001</v>
      </c>
    </row>
    <row r="27" spans="1:9" hidden="1" x14ac:dyDescent="0.3">
      <c r="A27">
        <v>3538709017</v>
      </c>
      <c r="B27" t="s">
        <v>9</v>
      </c>
      <c r="C27" t="s">
        <v>79</v>
      </c>
      <c r="D27">
        <v>3693</v>
      </c>
      <c r="E27">
        <v>9511</v>
      </c>
      <c r="F27" t="s">
        <v>80</v>
      </c>
      <c r="G27" s="1">
        <v>4204.83</v>
      </c>
      <c r="H27" t="s">
        <v>81</v>
      </c>
      <c r="I27" s="1">
        <v>3000</v>
      </c>
    </row>
    <row r="28" spans="1:9" hidden="1" x14ac:dyDescent="0.3">
      <c r="A28">
        <v>3538709046</v>
      </c>
      <c r="B28" t="s">
        <v>9</v>
      </c>
      <c r="C28" t="s">
        <v>82</v>
      </c>
      <c r="D28">
        <v>1550</v>
      </c>
      <c r="E28">
        <v>3957</v>
      </c>
      <c r="F28" t="s">
        <v>83</v>
      </c>
      <c r="G28" s="1">
        <v>4094.09</v>
      </c>
      <c r="H28" t="s">
        <v>84</v>
      </c>
      <c r="I28" s="1">
        <v>3000</v>
      </c>
    </row>
    <row r="29" spans="1:9" hidden="1" x14ac:dyDescent="0.3">
      <c r="A29">
        <v>3538709068</v>
      </c>
      <c r="B29" t="s">
        <v>9</v>
      </c>
      <c r="C29" t="s">
        <v>85</v>
      </c>
      <c r="D29">
        <v>20</v>
      </c>
      <c r="E29">
        <v>59</v>
      </c>
      <c r="F29" t="s">
        <v>86</v>
      </c>
      <c r="G29" s="1">
        <v>4082.2</v>
      </c>
      <c r="H29" t="s">
        <v>87</v>
      </c>
      <c r="I29" s="1">
        <v>3000</v>
      </c>
    </row>
    <row r="30" spans="1:9" hidden="1" x14ac:dyDescent="0.3">
      <c r="A30">
        <v>3538709022</v>
      </c>
      <c r="B30" t="s">
        <v>9</v>
      </c>
      <c r="C30" t="s">
        <v>88</v>
      </c>
      <c r="D30">
        <v>545</v>
      </c>
      <c r="E30">
        <v>1548</v>
      </c>
      <c r="F30" t="s">
        <v>89</v>
      </c>
      <c r="G30" s="1">
        <v>4026.84</v>
      </c>
      <c r="H30" t="s">
        <v>90</v>
      </c>
      <c r="I30" s="1">
        <v>2500</v>
      </c>
    </row>
    <row r="31" spans="1:9" hidden="1" x14ac:dyDescent="0.3">
      <c r="A31">
        <v>3538709065</v>
      </c>
      <c r="B31" t="s">
        <v>9</v>
      </c>
      <c r="C31" t="s">
        <v>91</v>
      </c>
      <c r="D31">
        <v>126</v>
      </c>
      <c r="E31">
        <v>371</v>
      </c>
      <c r="F31" t="s">
        <v>92</v>
      </c>
      <c r="G31" s="1">
        <v>3918.3</v>
      </c>
      <c r="H31" t="s">
        <v>93</v>
      </c>
      <c r="I31" s="1">
        <v>2500</v>
      </c>
    </row>
    <row r="32" spans="1:9" hidden="1" x14ac:dyDescent="0.3">
      <c r="A32">
        <v>3538709028</v>
      </c>
      <c r="B32" t="s">
        <v>9</v>
      </c>
      <c r="C32" t="s">
        <v>94</v>
      </c>
      <c r="D32">
        <v>1281</v>
      </c>
      <c r="E32">
        <v>3716</v>
      </c>
      <c r="F32" t="s">
        <v>26</v>
      </c>
      <c r="G32" s="1">
        <v>3777.87</v>
      </c>
      <c r="H32" t="s">
        <v>95</v>
      </c>
      <c r="I32" s="1">
        <v>3000</v>
      </c>
    </row>
    <row r="33" spans="1:9" hidden="1" x14ac:dyDescent="0.3">
      <c r="A33">
        <v>3538709030</v>
      </c>
      <c r="B33" t="s">
        <v>9</v>
      </c>
      <c r="C33" t="s">
        <v>96</v>
      </c>
      <c r="D33">
        <v>773</v>
      </c>
      <c r="E33">
        <v>1927</v>
      </c>
      <c r="F33" t="s">
        <v>97</v>
      </c>
      <c r="G33" s="1">
        <v>3750.53</v>
      </c>
      <c r="H33" t="s">
        <v>98</v>
      </c>
      <c r="I33" s="1">
        <v>3000</v>
      </c>
    </row>
    <row r="34" spans="1:9" x14ac:dyDescent="0.3">
      <c r="A34">
        <v>3538709009</v>
      </c>
      <c r="B34" t="s">
        <v>9</v>
      </c>
      <c r="C34" t="s">
        <v>219</v>
      </c>
      <c r="D34">
        <v>807</v>
      </c>
      <c r="E34">
        <v>2178</v>
      </c>
      <c r="F34" t="s">
        <v>99</v>
      </c>
      <c r="G34" s="1">
        <v>3731.25</v>
      </c>
      <c r="H34" t="s">
        <v>100</v>
      </c>
      <c r="I34" s="1">
        <v>2950</v>
      </c>
    </row>
    <row r="35" spans="1:9" hidden="1" x14ac:dyDescent="0.3">
      <c r="A35">
        <v>3538709048</v>
      </c>
      <c r="B35" t="s">
        <v>9</v>
      </c>
      <c r="C35" t="s">
        <v>220</v>
      </c>
      <c r="D35">
        <v>2035</v>
      </c>
      <c r="E35">
        <v>4886</v>
      </c>
      <c r="F35" t="s">
        <v>86</v>
      </c>
      <c r="G35" s="1">
        <v>3664.45</v>
      </c>
      <c r="H35" t="s">
        <v>101</v>
      </c>
      <c r="I35" s="1">
        <v>2680</v>
      </c>
    </row>
    <row r="36" spans="1:9" hidden="1" x14ac:dyDescent="0.3">
      <c r="A36">
        <v>3538709023</v>
      </c>
      <c r="B36" t="s">
        <v>9</v>
      </c>
      <c r="C36" t="s">
        <v>102</v>
      </c>
      <c r="D36">
        <v>2107</v>
      </c>
      <c r="E36">
        <v>5985</v>
      </c>
      <c r="F36" t="s">
        <v>103</v>
      </c>
      <c r="G36" s="1">
        <v>3630.86</v>
      </c>
      <c r="H36" t="s">
        <v>104</v>
      </c>
      <c r="I36" s="1">
        <v>2400</v>
      </c>
    </row>
    <row r="37" spans="1:9" hidden="1" x14ac:dyDescent="0.3">
      <c r="A37">
        <v>3538709051</v>
      </c>
      <c r="B37" t="s">
        <v>9</v>
      </c>
      <c r="C37" t="s">
        <v>105</v>
      </c>
      <c r="D37">
        <v>215</v>
      </c>
      <c r="E37">
        <v>533</v>
      </c>
      <c r="F37" t="s">
        <v>106</v>
      </c>
      <c r="G37" s="1">
        <v>3621.48</v>
      </c>
      <c r="H37" t="s">
        <v>107</v>
      </c>
      <c r="I37" s="1">
        <v>2700</v>
      </c>
    </row>
    <row r="38" spans="1:9" hidden="1" x14ac:dyDescent="0.3">
      <c r="A38">
        <v>3538709027</v>
      </c>
      <c r="B38" t="s">
        <v>9</v>
      </c>
      <c r="C38" t="s">
        <v>108</v>
      </c>
      <c r="D38">
        <v>9412</v>
      </c>
      <c r="E38">
        <v>27273</v>
      </c>
      <c r="F38" t="s">
        <v>109</v>
      </c>
      <c r="G38" s="1">
        <v>3611.44</v>
      </c>
      <c r="H38" t="s">
        <v>110</v>
      </c>
      <c r="I38" s="1">
        <v>2700</v>
      </c>
    </row>
    <row r="39" spans="1:9" hidden="1" x14ac:dyDescent="0.3">
      <c r="A39">
        <v>3538709021</v>
      </c>
      <c r="B39" t="s">
        <v>9</v>
      </c>
      <c r="C39" t="s">
        <v>111</v>
      </c>
      <c r="D39">
        <v>322</v>
      </c>
      <c r="E39">
        <v>939</v>
      </c>
      <c r="F39" t="s">
        <v>112</v>
      </c>
      <c r="G39" s="1">
        <v>3549.95</v>
      </c>
      <c r="H39" t="s">
        <v>113</v>
      </c>
      <c r="I39" s="1">
        <v>2500</v>
      </c>
    </row>
    <row r="40" spans="1:9" hidden="1" x14ac:dyDescent="0.3">
      <c r="A40">
        <v>3538709008</v>
      </c>
      <c r="B40" t="s">
        <v>9</v>
      </c>
      <c r="C40" t="s">
        <v>114</v>
      </c>
      <c r="D40">
        <v>2520</v>
      </c>
      <c r="E40">
        <v>6515</v>
      </c>
      <c r="F40" t="s">
        <v>106</v>
      </c>
      <c r="G40" s="1">
        <v>3529.59</v>
      </c>
      <c r="H40" t="s">
        <v>115</v>
      </c>
      <c r="I40" s="1">
        <v>2800</v>
      </c>
    </row>
    <row r="41" spans="1:9" hidden="1" x14ac:dyDescent="0.3">
      <c r="A41">
        <v>3538709031</v>
      </c>
      <c r="B41" t="s">
        <v>9</v>
      </c>
      <c r="C41" t="s">
        <v>116</v>
      </c>
      <c r="D41">
        <v>4317</v>
      </c>
      <c r="E41">
        <v>11273</v>
      </c>
      <c r="F41" t="s">
        <v>117</v>
      </c>
      <c r="G41" s="1">
        <v>3444.73</v>
      </c>
      <c r="H41" t="s">
        <v>118</v>
      </c>
      <c r="I41" s="1">
        <v>2500</v>
      </c>
    </row>
    <row r="42" spans="1:9" hidden="1" x14ac:dyDescent="0.3">
      <c r="A42">
        <v>3538709026</v>
      </c>
      <c r="B42" t="s">
        <v>9</v>
      </c>
      <c r="C42" t="s">
        <v>119</v>
      </c>
      <c r="D42">
        <v>6271</v>
      </c>
      <c r="E42">
        <v>17530</v>
      </c>
      <c r="F42" t="s">
        <v>120</v>
      </c>
      <c r="G42" s="1">
        <v>3429.61</v>
      </c>
      <c r="H42" t="s">
        <v>121</v>
      </c>
      <c r="I42" s="1">
        <v>2500</v>
      </c>
    </row>
    <row r="43" spans="1:9" hidden="1" x14ac:dyDescent="0.3">
      <c r="A43">
        <v>3538709067</v>
      </c>
      <c r="B43" t="s">
        <v>9</v>
      </c>
      <c r="C43" t="s">
        <v>122</v>
      </c>
      <c r="D43">
        <v>165</v>
      </c>
      <c r="E43">
        <v>471</v>
      </c>
      <c r="F43" t="s">
        <v>123</v>
      </c>
      <c r="G43" s="1">
        <v>3341.69</v>
      </c>
      <c r="H43" t="s">
        <v>124</v>
      </c>
      <c r="I43" s="1">
        <v>2500</v>
      </c>
    </row>
    <row r="44" spans="1:9" hidden="1" x14ac:dyDescent="0.3">
      <c r="A44">
        <v>3538709029</v>
      </c>
      <c r="B44" t="s">
        <v>9</v>
      </c>
      <c r="C44" t="s">
        <v>125</v>
      </c>
      <c r="D44">
        <v>4317</v>
      </c>
      <c r="E44">
        <v>12298</v>
      </c>
      <c r="F44" t="s">
        <v>20</v>
      </c>
      <c r="G44" s="1">
        <v>3339.7</v>
      </c>
      <c r="H44" t="s">
        <v>126</v>
      </c>
      <c r="I44" s="1">
        <v>2200</v>
      </c>
    </row>
    <row r="45" spans="1:9" hidden="1" x14ac:dyDescent="0.3">
      <c r="A45">
        <v>3538709047</v>
      </c>
      <c r="B45" t="s">
        <v>9</v>
      </c>
      <c r="C45" t="s">
        <v>127</v>
      </c>
      <c r="D45">
        <v>1729</v>
      </c>
      <c r="E45">
        <v>4407</v>
      </c>
      <c r="F45" t="s">
        <v>123</v>
      </c>
      <c r="G45" s="1">
        <v>3287.5</v>
      </c>
      <c r="H45" t="s">
        <v>128</v>
      </c>
      <c r="I45" s="1">
        <v>2400</v>
      </c>
    </row>
    <row r="46" spans="1:9" hidden="1" x14ac:dyDescent="0.3">
      <c r="A46">
        <v>3538709052</v>
      </c>
      <c r="B46" t="s">
        <v>9</v>
      </c>
      <c r="C46" t="s">
        <v>129</v>
      </c>
      <c r="D46">
        <v>1247</v>
      </c>
      <c r="E46">
        <v>3422</v>
      </c>
      <c r="F46" t="s">
        <v>130</v>
      </c>
      <c r="G46" s="1">
        <v>3156.09</v>
      </c>
      <c r="H46" t="s">
        <v>131</v>
      </c>
      <c r="I46" s="1">
        <v>2500</v>
      </c>
    </row>
    <row r="47" spans="1:9" hidden="1" x14ac:dyDescent="0.3">
      <c r="A47">
        <v>3538709055</v>
      </c>
      <c r="B47" t="s">
        <v>9</v>
      </c>
      <c r="C47" t="s">
        <v>132</v>
      </c>
      <c r="D47">
        <v>612</v>
      </c>
      <c r="E47">
        <v>1693</v>
      </c>
      <c r="F47" t="s">
        <v>133</v>
      </c>
      <c r="G47" s="1">
        <v>3152.28</v>
      </c>
      <c r="H47" t="s">
        <v>134</v>
      </c>
      <c r="I47" s="1">
        <v>2500</v>
      </c>
    </row>
    <row r="48" spans="1:9" hidden="1" x14ac:dyDescent="0.3">
      <c r="A48">
        <v>3538709035</v>
      </c>
      <c r="B48" t="s">
        <v>9</v>
      </c>
      <c r="C48" t="s">
        <v>135</v>
      </c>
      <c r="D48">
        <v>2806</v>
      </c>
      <c r="E48">
        <v>7098</v>
      </c>
      <c r="F48" t="s">
        <v>136</v>
      </c>
      <c r="G48" s="1">
        <v>3147.23</v>
      </c>
      <c r="H48" t="s">
        <v>137</v>
      </c>
      <c r="I48" s="1">
        <v>2300</v>
      </c>
    </row>
    <row r="49" spans="1:9" hidden="1" x14ac:dyDescent="0.3">
      <c r="A49">
        <v>3538709059</v>
      </c>
      <c r="B49" t="s">
        <v>9</v>
      </c>
      <c r="C49" t="s">
        <v>138</v>
      </c>
      <c r="D49">
        <v>2677</v>
      </c>
      <c r="E49">
        <v>7170</v>
      </c>
      <c r="F49" t="s">
        <v>123</v>
      </c>
      <c r="G49" s="1">
        <v>3064.16</v>
      </c>
      <c r="H49" t="s">
        <v>139</v>
      </c>
      <c r="I49" s="1">
        <v>2000</v>
      </c>
    </row>
    <row r="50" spans="1:9" hidden="1" x14ac:dyDescent="0.3">
      <c r="A50">
        <v>3538709044</v>
      </c>
      <c r="B50" t="s">
        <v>9</v>
      </c>
      <c r="C50" t="s">
        <v>140</v>
      </c>
      <c r="D50">
        <v>1826</v>
      </c>
      <c r="E50">
        <v>4832</v>
      </c>
      <c r="F50" t="s">
        <v>133</v>
      </c>
      <c r="G50" s="1">
        <v>3013.11</v>
      </c>
      <c r="H50" t="s">
        <v>141</v>
      </c>
      <c r="I50" s="1">
        <v>2500</v>
      </c>
    </row>
    <row r="51" spans="1:9" hidden="1" x14ac:dyDescent="0.3">
      <c r="A51">
        <v>3538709038</v>
      </c>
      <c r="B51" t="s">
        <v>9</v>
      </c>
      <c r="C51" t="s">
        <v>142</v>
      </c>
      <c r="D51">
        <v>90</v>
      </c>
      <c r="E51">
        <v>227</v>
      </c>
      <c r="F51" t="s">
        <v>143</v>
      </c>
      <c r="G51" s="1">
        <v>2845.11</v>
      </c>
      <c r="H51" t="s">
        <v>144</v>
      </c>
      <c r="I51" s="1">
        <v>1500</v>
      </c>
    </row>
    <row r="52" spans="1:9" hidden="1" x14ac:dyDescent="0.3">
      <c r="A52">
        <v>3538709036</v>
      </c>
      <c r="B52" t="s">
        <v>9</v>
      </c>
      <c r="C52" t="s">
        <v>145</v>
      </c>
      <c r="D52">
        <v>1263</v>
      </c>
      <c r="E52">
        <v>3413</v>
      </c>
      <c r="F52" t="s">
        <v>112</v>
      </c>
      <c r="G52" s="1">
        <v>2830.22</v>
      </c>
      <c r="H52" t="s">
        <v>146</v>
      </c>
      <c r="I52" s="1">
        <v>2200</v>
      </c>
    </row>
    <row r="53" spans="1:9" hidden="1" x14ac:dyDescent="0.3">
      <c r="A53">
        <v>3538709053</v>
      </c>
      <c r="B53" t="s">
        <v>9</v>
      </c>
      <c r="C53" t="s">
        <v>147</v>
      </c>
      <c r="D53">
        <v>2394</v>
      </c>
      <c r="E53">
        <v>6822</v>
      </c>
      <c r="F53" t="s">
        <v>120</v>
      </c>
      <c r="G53" s="1">
        <v>2785.82</v>
      </c>
      <c r="H53" t="s">
        <v>148</v>
      </c>
      <c r="I53" s="1">
        <v>2000</v>
      </c>
    </row>
    <row r="54" spans="1:9" hidden="1" x14ac:dyDescent="0.3">
      <c r="A54">
        <v>3538709041</v>
      </c>
      <c r="B54" t="s">
        <v>9</v>
      </c>
      <c r="C54" t="s">
        <v>149</v>
      </c>
      <c r="D54">
        <v>1815</v>
      </c>
      <c r="E54">
        <v>5567</v>
      </c>
      <c r="F54" t="s">
        <v>150</v>
      </c>
      <c r="G54" s="1">
        <v>2747.59</v>
      </c>
      <c r="H54" t="s">
        <v>151</v>
      </c>
      <c r="I54" s="1">
        <v>2200</v>
      </c>
    </row>
    <row r="55" spans="1:9" hidden="1" x14ac:dyDescent="0.3">
      <c r="A55">
        <v>3538709066</v>
      </c>
      <c r="B55" t="s">
        <v>9</v>
      </c>
      <c r="C55" t="s">
        <v>152</v>
      </c>
      <c r="D55">
        <v>23</v>
      </c>
      <c r="E55">
        <v>65</v>
      </c>
      <c r="F55" t="s">
        <v>153</v>
      </c>
      <c r="G55" s="1">
        <v>2695.74</v>
      </c>
      <c r="H55" t="s">
        <v>154</v>
      </c>
      <c r="I55" s="1">
        <v>2400</v>
      </c>
    </row>
    <row r="56" spans="1:9" hidden="1" x14ac:dyDescent="0.3">
      <c r="A56">
        <v>3538709057</v>
      </c>
      <c r="B56" t="s">
        <v>9</v>
      </c>
      <c r="C56" t="s">
        <v>155</v>
      </c>
      <c r="D56">
        <v>5037</v>
      </c>
      <c r="E56">
        <v>13774</v>
      </c>
      <c r="F56" t="s">
        <v>117</v>
      </c>
      <c r="G56" s="1">
        <v>2647.64</v>
      </c>
      <c r="H56" t="s">
        <v>156</v>
      </c>
      <c r="I56" s="1">
        <v>2000</v>
      </c>
    </row>
    <row r="57" spans="1:9" hidden="1" x14ac:dyDescent="0.3">
      <c r="A57">
        <v>3538709050</v>
      </c>
      <c r="B57" t="s">
        <v>9</v>
      </c>
      <c r="C57" t="s">
        <v>157</v>
      </c>
      <c r="D57">
        <v>538</v>
      </c>
      <c r="E57">
        <v>1337</v>
      </c>
      <c r="F57" t="s">
        <v>106</v>
      </c>
      <c r="G57" s="1">
        <v>2617.46</v>
      </c>
      <c r="H57" t="s">
        <v>158</v>
      </c>
      <c r="I57" s="1">
        <v>2105</v>
      </c>
    </row>
    <row r="58" spans="1:9" hidden="1" x14ac:dyDescent="0.3">
      <c r="A58">
        <v>3538709025</v>
      </c>
      <c r="B58" t="s">
        <v>9</v>
      </c>
      <c r="C58" t="s">
        <v>159</v>
      </c>
      <c r="D58">
        <v>1862</v>
      </c>
      <c r="E58">
        <v>5414</v>
      </c>
      <c r="F58" t="s">
        <v>153</v>
      </c>
      <c r="G58" s="1">
        <v>2587.83</v>
      </c>
      <c r="H58" t="s">
        <v>160</v>
      </c>
      <c r="I58" s="1">
        <v>2000</v>
      </c>
    </row>
    <row r="59" spans="1:9" hidden="1" x14ac:dyDescent="0.3">
      <c r="A59">
        <v>3538709060</v>
      </c>
      <c r="B59" t="s">
        <v>9</v>
      </c>
      <c r="C59" t="s">
        <v>161</v>
      </c>
      <c r="D59">
        <v>3813</v>
      </c>
      <c r="E59">
        <v>11136</v>
      </c>
      <c r="F59" t="s">
        <v>162</v>
      </c>
      <c r="G59" s="1">
        <v>2543.88</v>
      </c>
      <c r="H59" t="s">
        <v>163</v>
      </c>
      <c r="I59" s="1">
        <v>2100</v>
      </c>
    </row>
    <row r="60" spans="1:9" hidden="1" x14ac:dyDescent="0.3">
      <c r="A60">
        <v>3538709500</v>
      </c>
      <c r="B60" t="s">
        <v>9</v>
      </c>
      <c r="C60" t="s">
        <v>164</v>
      </c>
      <c r="D60">
        <v>22</v>
      </c>
      <c r="E60">
        <v>69</v>
      </c>
      <c r="F60" t="s">
        <v>165</v>
      </c>
      <c r="G60" s="1">
        <v>2482.63</v>
      </c>
      <c r="H60" t="s">
        <v>166</v>
      </c>
      <c r="I60" s="1">
        <v>1600</v>
      </c>
    </row>
    <row r="61" spans="1:9" hidden="1" x14ac:dyDescent="0.3">
      <c r="A61">
        <v>3538709049</v>
      </c>
      <c r="B61" t="s">
        <v>9</v>
      </c>
      <c r="C61" t="s">
        <v>167</v>
      </c>
      <c r="D61">
        <v>2353</v>
      </c>
      <c r="E61">
        <v>6588</v>
      </c>
      <c r="F61" t="s">
        <v>168</v>
      </c>
      <c r="G61" s="1">
        <v>2379.0700000000002</v>
      </c>
      <c r="H61" t="s">
        <v>169</v>
      </c>
      <c r="I61" s="1">
        <v>2000</v>
      </c>
    </row>
    <row r="62" spans="1:9" hidden="1" x14ac:dyDescent="0.3">
      <c r="A62">
        <v>3538709058</v>
      </c>
      <c r="B62" t="s">
        <v>9</v>
      </c>
      <c r="C62" t="s">
        <v>170</v>
      </c>
      <c r="D62">
        <v>9385</v>
      </c>
      <c r="E62">
        <v>27274</v>
      </c>
      <c r="F62" t="s">
        <v>171</v>
      </c>
      <c r="G62" s="1">
        <v>2276.61</v>
      </c>
      <c r="H62" t="s">
        <v>172</v>
      </c>
      <c r="I62" s="1">
        <v>2000</v>
      </c>
    </row>
    <row r="63" spans="1:9" hidden="1" x14ac:dyDescent="0.3">
      <c r="A63">
        <v>3538709034</v>
      </c>
      <c r="B63" t="s">
        <v>9</v>
      </c>
      <c r="C63" t="s">
        <v>173</v>
      </c>
      <c r="D63">
        <v>4384</v>
      </c>
      <c r="E63">
        <v>13096</v>
      </c>
      <c r="F63" t="s">
        <v>174</v>
      </c>
      <c r="G63" s="1">
        <v>2243.91</v>
      </c>
      <c r="H63" t="s">
        <v>175</v>
      </c>
      <c r="I63" s="1">
        <v>1800</v>
      </c>
    </row>
    <row r="64" spans="1:9" hidden="1" x14ac:dyDescent="0.3">
      <c r="A64">
        <v>3538709040</v>
      </c>
      <c r="B64" t="s">
        <v>9</v>
      </c>
      <c r="C64" t="s">
        <v>176</v>
      </c>
      <c r="D64">
        <v>2339</v>
      </c>
      <c r="E64">
        <v>7044</v>
      </c>
      <c r="F64" t="s">
        <v>177</v>
      </c>
      <c r="G64" s="1">
        <v>2228.62</v>
      </c>
      <c r="H64" t="s">
        <v>178</v>
      </c>
      <c r="I64" s="1">
        <v>2000</v>
      </c>
    </row>
    <row r="65" spans="1:9" hidden="1" x14ac:dyDescent="0.3">
      <c r="A65">
        <v>3538709033</v>
      </c>
      <c r="B65" t="s">
        <v>9</v>
      </c>
      <c r="C65" t="s">
        <v>179</v>
      </c>
      <c r="D65">
        <v>1971</v>
      </c>
      <c r="E65">
        <v>5628</v>
      </c>
      <c r="F65" t="s">
        <v>180</v>
      </c>
      <c r="G65" s="1">
        <v>2223.11</v>
      </c>
      <c r="H65" t="s">
        <v>181</v>
      </c>
      <c r="I65" s="1">
        <v>1629.5</v>
      </c>
    </row>
    <row r="66" spans="1:9" hidden="1" x14ac:dyDescent="0.3">
      <c r="A66">
        <v>3538709039</v>
      </c>
      <c r="B66" t="s">
        <v>9</v>
      </c>
      <c r="C66" t="s">
        <v>182</v>
      </c>
      <c r="D66">
        <v>3984</v>
      </c>
      <c r="E66">
        <v>11838</v>
      </c>
      <c r="F66" t="s">
        <v>183</v>
      </c>
      <c r="G66" s="1">
        <v>2035.35</v>
      </c>
      <c r="H66" t="s">
        <v>184</v>
      </c>
      <c r="I66" s="1">
        <v>1800</v>
      </c>
    </row>
    <row r="67" spans="1:9" hidden="1" x14ac:dyDescent="0.3">
      <c r="A67">
        <v>3538709054</v>
      </c>
      <c r="B67" t="s">
        <v>9</v>
      </c>
      <c r="C67" t="s">
        <v>185</v>
      </c>
      <c r="D67">
        <v>5031</v>
      </c>
      <c r="E67">
        <v>16529</v>
      </c>
      <c r="F67" t="s">
        <v>186</v>
      </c>
      <c r="G67" s="1">
        <v>2021.17</v>
      </c>
      <c r="H67" t="s">
        <v>187</v>
      </c>
      <c r="I67" s="1">
        <v>1600</v>
      </c>
    </row>
    <row r="68" spans="1:9" hidden="1" x14ac:dyDescent="0.3">
      <c r="A68">
        <v>3538709032</v>
      </c>
      <c r="B68" t="s">
        <v>9</v>
      </c>
      <c r="C68" t="s">
        <v>188</v>
      </c>
      <c r="D68">
        <v>3848</v>
      </c>
      <c r="E68">
        <v>10933</v>
      </c>
      <c r="F68" t="s">
        <v>189</v>
      </c>
      <c r="G68" s="1">
        <v>2015.89</v>
      </c>
      <c r="H68" t="s">
        <v>190</v>
      </c>
      <c r="I68" s="1">
        <v>1800</v>
      </c>
    </row>
    <row r="69" spans="1:9" hidden="1" x14ac:dyDescent="0.3">
      <c r="A69">
        <v>3538709069</v>
      </c>
      <c r="B69" t="s">
        <v>9</v>
      </c>
      <c r="C69" t="s">
        <v>191</v>
      </c>
      <c r="D69">
        <v>13</v>
      </c>
      <c r="E69">
        <v>42</v>
      </c>
      <c r="F69" t="s">
        <v>192</v>
      </c>
      <c r="G69" s="1">
        <v>1670.5</v>
      </c>
      <c r="H69" t="s">
        <v>193</v>
      </c>
      <c r="I69" s="1">
        <v>1200</v>
      </c>
    </row>
  </sheetData>
  <autoFilter ref="A2:I69" xr:uid="{00000000-0001-0000-0000-000000000000}">
    <filterColumn colId="2">
      <filters>
        <filter val="Jardim Caxambu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A404-3806-49A2-888C-FE304FD27D84}">
  <dimension ref="A1:B6"/>
  <sheetViews>
    <sheetView workbookViewId="0">
      <selection activeCell="D19" sqref="D19"/>
    </sheetView>
  </sheetViews>
  <sheetFormatPr defaultRowHeight="14.4" x14ac:dyDescent="0.3"/>
  <sheetData>
    <row r="1" spans="1:2" x14ac:dyDescent="0.3">
      <c r="A1" t="s">
        <v>3</v>
      </c>
      <c r="B1" t="s">
        <v>194</v>
      </c>
    </row>
    <row r="2" spans="1:2" x14ac:dyDescent="0.3">
      <c r="A2" t="s">
        <v>4</v>
      </c>
      <c r="B2" t="s">
        <v>195</v>
      </c>
    </row>
    <row r="3" spans="1:2" x14ac:dyDescent="0.3">
      <c r="A3" t="s">
        <v>5</v>
      </c>
      <c r="B3" t="s">
        <v>196</v>
      </c>
    </row>
    <row r="4" spans="1:2" x14ac:dyDescent="0.3">
      <c r="A4" t="s">
        <v>6</v>
      </c>
      <c r="B4" t="s">
        <v>197</v>
      </c>
    </row>
    <row r="5" spans="1:2" x14ac:dyDescent="0.3">
      <c r="A5" t="s">
        <v>7</v>
      </c>
      <c r="B5" t="s">
        <v>198</v>
      </c>
    </row>
    <row r="6" spans="1:2" x14ac:dyDescent="0.3">
      <c r="A6" t="s">
        <v>8</v>
      </c>
      <c r="B6" t="s">
        <v>199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8193-1B4C-4FAF-9AC2-336015BCF24B}">
  <sheetPr filterMode="1"/>
  <dimension ref="A1:U659"/>
  <sheetViews>
    <sheetView topLeftCell="C1" workbookViewId="0">
      <selection activeCell="C660" sqref="C660"/>
    </sheetView>
  </sheetViews>
  <sheetFormatPr defaultRowHeight="14.4" x14ac:dyDescent="0.3"/>
  <cols>
    <col min="3" max="3" width="19.88671875" customWidth="1"/>
    <col min="6" max="7" width="17.6640625" style="1" bestFit="1" customWidth="1"/>
    <col min="8" max="8" width="12.88671875" style="1" bestFit="1" customWidth="1"/>
    <col min="9" max="18" width="8.88671875" style="3"/>
    <col min="20" max="20" width="12.88671875" bestFit="1" customWidth="1"/>
    <col min="21" max="21" width="11.88671875" bestFit="1" customWidth="1"/>
  </cols>
  <sheetData>
    <row r="1" spans="1:21" x14ac:dyDescent="0.3">
      <c r="F1" s="1">
        <f t="shared" ref="F1:H1" si="0">SUBTOTAL(9,F3:F659)</f>
        <v>1100066</v>
      </c>
      <c r="G1" s="1">
        <f t="shared" si="0"/>
        <v>1100066</v>
      </c>
      <c r="H1" s="1">
        <f t="shared" si="0"/>
        <v>0</v>
      </c>
      <c r="I1" s="3">
        <f>SUBTOTAL(9,I3:I659)</f>
        <v>0</v>
      </c>
      <c r="J1" s="3">
        <f t="shared" ref="J1:R1" si="1">SUBTOTAL(9,J3:J659)</f>
        <v>0</v>
      </c>
      <c r="K1" s="3">
        <f t="shared" si="1"/>
        <v>5</v>
      </c>
      <c r="L1" s="3">
        <f t="shared" si="1"/>
        <v>14</v>
      </c>
      <c r="M1" s="3">
        <f t="shared" si="1"/>
        <v>49</v>
      </c>
      <c r="N1" s="3">
        <f t="shared" si="1"/>
        <v>38</v>
      </c>
      <c r="O1" s="3">
        <f t="shared" si="1"/>
        <v>36</v>
      </c>
      <c r="P1" s="3">
        <f t="shared" si="1"/>
        <v>37</v>
      </c>
      <c r="Q1" s="3">
        <f t="shared" si="1"/>
        <v>12</v>
      </c>
      <c r="R1" s="3">
        <f t="shared" si="1"/>
        <v>2</v>
      </c>
      <c r="S1" s="2">
        <f>SUM(I1:R1)</f>
        <v>193</v>
      </c>
      <c r="T1" s="4">
        <f>F1/S1</f>
        <v>5699.8238341968909</v>
      </c>
      <c r="U1" s="4">
        <f>T1*1.859</f>
        <v>10595.97250777202</v>
      </c>
    </row>
    <row r="2" spans="1:21" x14ac:dyDescent="0.3">
      <c r="A2" t="s">
        <v>200</v>
      </c>
      <c r="B2" t="s">
        <v>1</v>
      </c>
      <c r="C2" t="s">
        <v>201</v>
      </c>
      <c r="D2" t="s">
        <v>202</v>
      </c>
      <c r="E2" t="s">
        <v>203</v>
      </c>
      <c r="F2" s="1" t="s">
        <v>204</v>
      </c>
      <c r="G2" s="1" t="s">
        <v>205</v>
      </c>
      <c r="H2" s="1" t="s">
        <v>206</v>
      </c>
      <c r="I2" s="3" t="s">
        <v>207</v>
      </c>
      <c r="J2" s="3" t="s">
        <v>208</v>
      </c>
      <c r="K2" s="3" t="s">
        <v>209</v>
      </c>
      <c r="L2" s="3" t="s">
        <v>210</v>
      </c>
      <c r="M2" s="3" t="s">
        <v>211</v>
      </c>
      <c r="N2" s="3" t="s">
        <v>212</v>
      </c>
      <c r="O2" s="3" t="s">
        <v>213</v>
      </c>
      <c r="P2" s="3" t="s">
        <v>214</v>
      </c>
      <c r="Q2" s="3" t="s">
        <v>215</v>
      </c>
      <c r="R2" s="3" t="s">
        <v>216</v>
      </c>
      <c r="S2" s="3" t="s">
        <v>278</v>
      </c>
      <c r="T2" s="3" t="s">
        <v>279</v>
      </c>
    </row>
    <row r="3" spans="1:21" hidden="1" x14ac:dyDescent="0.3">
      <c r="A3">
        <v>353870905000497</v>
      </c>
      <c r="B3" t="s">
        <v>217</v>
      </c>
      <c r="C3" t="s">
        <v>13</v>
      </c>
      <c r="D3">
        <v>1</v>
      </c>
      <c r="E3">
        <v>0</v>
      </c>
      <c r="F3" s="1">
        <v>2865330</v>
      </c>
      <c r="G3" s="1">
        <v>2865330</v>
      </c>
      <c r="H3" s="1">
        <v>0</v>
      </c>
      <c r="I3" s="3">
        <v>0</v>
      </c>
      <c r="J3" s="3">
        <v>0</v>
      </c>
      <c r="K3" s="3">
        <v>4</v>
      </c>
      <c r="L3" s="3">
        <v>3</v>
      </c>
      <c r="M3" s="3">
        <v>11</v>
      </c>
      <c r="N3" s="3">
        <v>20</v>
      </c>
      <c r="O3" s="3">
        <v>57</v>
      </c>
      <c r="P3" s="3">
        <v>80</v>
      </c>
      <c r="Q3" s="3">
        <v>54</v>
      </c>
      <c r="R3" s="3">
        <v>1</v>
      </c>
      <c r="S3" s="2">
        <f t="shared" ref="S3:S66" si="2">SUM(I3:R3)</f>
        <v>230</v>
      </c>
      <c r="T3" s="4">
        <f t="shared" ref="T3:T66" si="3">F3/S3</f>
        <v>12457.95652173913</v>
      </c>
    </row>
    <row r="4" spans="1:21" hidden="1" x14ac:dyDescent="0.3">
      <c r="A4">
        <v>353870905000498</v>
      </c>
      <c r="B4" t="s">
        <v>217</v>
      </c>
      <c r="C4" t="s">
        <v>13</v>
      </c>
      <c r="D4">
        <v>1</v>
      </c>
      <c r="E4">
        <v>0</v>
      </c>
      <c r="F4" s="1">
        <v>5019994</v>
      </c>
      <c r="G4" s="1">
        <v>5019994</v>
      </c>
      <c r="H4" s="1">
        <v>0</v>
      </c>
      <c r="I4" s="3">
        <v>0</v>
      </c>
      <c r="J4" s="3">
        <v>0</v>
      </c>
      <c r="K4" s="3">
        <v>2</v>
      </c>
      <c r="L4" s="3">
        <v>10</v>
      </c>
      <c r="M4" s="3">
        <v>32</v>
      </c>
      <c r="N4" s="3">
        <v>38</v>
      </c>
      <c r="O4" s="3">
        <v>107</v>
      </c>
      <c r="P4" s="3">
        <v>162</v>
      </c>
      <c r="Q4" s="3">
        <v>62</v>
      </c>
      <c r="R4" s="3">
        <v>6</v>
      </c>
      <c r="S4" s="2">
        <f t="shared" si="2"/>
        <v>419</v>
      </c>
      <c r="T4" s="4">
        <f t="shared" si="3"/>
        <v>11980.89260143198</v>
      </c>
    </row>
    <row r="5" spans="1:21" hidden="1" x14ac:dyDescent="0.3">
      <c r="A5">
        <v>353870905000015</v>
      </c>
      <c r="B5" t="s">
        <v>217</v>
      </c>
      <c r="C5" t="s">
        <v>45</v>
      </c>
      <c r="D5">
        <v>1</v>
      </c>
      <c r="E5">
        <v>0</v>
      </c>
      <c r="F5" s="1">
        <v>2214567</v>
      </c>
      <c r="G5" s="1">
        <v>2214567</v>
      </c>
      <c r="H5" s="1">
        <v>0</v>
      </c>
      <c r="I5" s="3">
        <v>0</v>
      </c>
      <c r="J5" s="3">
        <v>0</v>
      </c>
      <c r="K5" s="3">
        <v>2</v>
      </c>
      <c r="L5" s="3">
        <v>5</v>
      </c>
      <c r="M5" s="3">
        <v>15</v>
      </c>
      <c r="N5" s="3">
        <v>14</v>
      </c>
      <c r="O5" s="3">
        <v>34</v>
      </c>
      <c r="P5" s="3">
        <v>72</v>
      </c>
      <c r="Q5" s="3">
        <v>52</v>
      </c>
      <c r="R5" s="3">
        <v>0</v>
      </c>
      <c r="S5" s="2">
        <f t="shared" si="2"/>
        <v>194</v>
      </c>
      <c r="T5" s="4">
        <f t="shared" si="3"/>
        <v>11415.293814432989</v>
      </c>
    </row>
    <row r="6" spans="1:21" hidden="1" x14ac:dyDescent="0.3">
      <c r="A6">
        <v>353870905000454</v>
      </c>
      <c r="B6" t="s">
        <v>217</v>
      </c>
      <c r="C6" t="s">
        <v>68</v>
      </c>
      <c r="D6">
        <v>1</v>
      </c>
      <c r="E6">
        <v>0</v>
      </c>
      <c r="F6" s="1">
        <v>540750</v>
      </c>
      <c r="G6" s="1">
        <v>540750</v>
      </c>
      <c r="H6" s="1">
        <v>0</v>
      </c>
      <c r="I6" s="3">
        <v>0</v>
      </c>
      <c r="J6" s="3">
        <v>0</v>
      </c>
      <c r="K6" s="3">
        <v>0</v>
      </c>
      <c r="L6" s="3">
        <v>1</v>
      </c>
      <c r="M6" s="3">
        <v>4</v>
      </c>
      <c r="N6" s="3">
        <v>9</v>
      </c>
      <c r="O6" s="3">
        <v>7</v>
      </c>
      <c r="P6" s="3">
        <v>18</v>
      </c>
      <c r="Q6" s="3">
        <v>15</v>
      </c>
      <c r="R6" s="3">
        <v>0</v>
      </c>
      <c r="S6" s="2">
        <f t="shared" si="2"/>
        <v>54</v>
      </c>
      <c r="T6" s="4">
        <f t="shared" si="3"/>
        <v>10013.888888888889</v>
      </c>
    </row>
    <row r="7" spans="1:21" hidden="1" x14ac:dyDescent="0.3">
      <c r="A7">
        <v>353870905000005</v>
      </c>
      <c r="B7" t="s">
        <v>217</v>
      </c>
      <c r="C7" t="s">
        <v>28</v>
      </c>
      <c r="D7">
        <v>1</v>
      </c>
      <c r="E7">
        <v>0</v>
      </c>
      <c r="F7" s="1">
        <v>1581716</v>
      </c>
      <c r="G7" s="1">
        <v>1581716</v>
      </c>
      <c r="H7" s="1">
        <v>0</v>
      </c>
      <c r="I7" s="3">
        <v>0</v>
      </c>
      <c r="J7" s="3">
        <v>0</v>
      </c>
      <c r="K7" s="3">
        <v>2</v>
      </c>
      <c r="L7" s="3">
        <v>17</v>
      </c>
      <c r="M7" s="3">
        <v>32</v>
      </c>
      <c r="N7" s="3">
        <v>27</v>
      </c>
      <c r="O7" s="3">
        <v>40</v>
      </c>
      <c r="P7" s="3">
        <v>33</v>
      </c>
      <c r="Q7" s="3">
        <v>8</v>
      </c>
      <c r="R7" s="3">
        <v>2</v>
      </c>
      <c r="S7" s="2">
        <f t="shared" si="2"/>
        <v>161</v>
      </c>
      <c r="T7" s="4">
        <f t="shared" si="3"/>
        <v>9824.3229813664602</v>
      </c>
    </row>
    <row r="8" spans="1:21" hidden="1" x14ac:dyDescent="0.3">
      <c r="A8">
        <v>353870905000459</v>
      </c>
      <c r="B8" t="s">
        <v>217</v>
      </c>
      <c r="C8" t="s">
        <v>22</v>
      </c>
      <c r="D8">
        <v>1</v>
      </c>
      <c r="E8">
        <v>0</v>
      </c>
      <c r="F8" s="1">
        <v>92640</v>
      </c>
      <c r="G8" s="1">
        <v>92640</v>
      </c>
      <c r="H8" s="1">
        <v>0</v>
      </c>
      <c r="I8" s="3">
        <v>0</v>
      </c>
      <c r="J8" s="3">
        <v>0</v>
      </c>
      <c r="K8" s="3">
        <v>0</v>
      </c>
      <c r="L8" s="3">
        <v>1</v>
      </c>
      <c r="M8" s="3">
        <v>1</v>
      </c>
      <c r="N8" s="3">
        <v>0</v>
      </c>
      <c r="O8" s="3">
        <v>3</v>
      </c>
      <c r="P8" s="3">
        <v>4</v>
      </c>
      <c r="Q8" s="3">
        <v>1</v>
      </c>
      <c r="R8" s="3">
        <v>0</v>
      </c>
      <c r="S8" s="2">
        <f t="shared" si="2"/>
        <v>10</v>
      </c>
      <c r="T8" s="4">
        <f t="shared" si="3"/>
        <v>9264</v>
      </c>
    </row>
    <row r="9" spans="1:21" hidden="1" x14ac:dyDescent="0.3">
      <c r="A9">
        <v>353870905000455</v>
      </c>
      <c r="B9" t="s">
        <v>217</v>
      </c>
      <c r="C9" t="s">
        <v>22</v>
      </c>
      <c r="D9">
        <v>1</v>
      </c>
      <c r="E9">
        <v>0</v>
      </c>
      <c r="F9" s="1">
        <v>64245</v>
      </c>
      <c r="G9" s="1">
        <v>64245</v>
      </c>
      <c r="H9" s="1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1</v>
      </c>
      <c r="P9" s="3">
        <v>4</v>
      </c>
      <c r="Q9" s="3">
        <v>1</v>
      </c>
      <c r="R9" s="3">
        <v>0</v>
      </c>
      <c r="S9" s="2">
        <f t="shared" si="2"/>
        <v>7</v>
      </c>
      <c r="T9" s="4">
        <f t="shared" si="3"/>
        <v>9177.8571428571431</v>
      </c>
    </row>
    <row r="10" spans="1:21" hidden="1" x14ac:dyDescent="0.3">
      <c r="A10">
        <v>353870905000144</v>
      </c>
      <c r="B10" t="s">
        <v>217</v>
      </c>
      <c r="C10" t="s">
        <v>31</v>
      </c>
      <c r="D10">
        <v>1</v>
      </c>
      <c r="E10">
        <v>0</v>
      </c>
      <c r="F10" s="1">
        <v>901044</v>
      </c>
      <c r="G10" s="1">
        <v>901044</v>
      </c>
      <c r="H10" s="1">
        <v>0</v>
      </c>
      <c r="I10" s="3">
        <v>0</v>
      </c>
      <c r="J10" s="3">
        <v>0</v>
      </c>
      <c r="K10" s="3">
        <v>0</v>
      </c>
      <c r="L10" s="3">
        <v>1</v>
      </c>
      <c r="M10" s="3">
        <v>12</v>
      </c>
      <c r="N10" s="3">
        <v>18</v>
      </c>
      <c r="O10" s="3">
        <v>21</v>
      </c>
      <c r="P10" s="3">
        <v>29</v>
      </c>
      <c r="Q10" s="3">
        <v>19</v>
      </c>
      <c r="R10" s="3">
        <v>0</v>
      </c>
      <c r="S10" s="2">
        <f t="shared" si="2"/>
        <v>100</v>
      </c>
      <c r="T10" s="4">
        <f t="shared" si="3"/>
        <v>9010.44</v>
      </c>
    </row>
    <row r="11" spans="1:21" hidden="1" x14ac:dyDescent="0.3">
      <c r="A11">
        <v>353870905000457</v>
      </c>
      <c r="B11" t="s">
        <v>217</v>
      </c>
      <c r="C11" t="s">
        <v>22</v>
      </c>
      <c r="D11">
        <v>1</v>
      </c>
      <c r="E11">
        <v>0</v>
      </c>
      <c r="F11" s="1">
        <v>463010</v>
      </c>
      <c r="G11" s="1">
        <v>463010</v>
      </c>
      <c r="H11" s="1">
        <v>0</v>
      </c>
      <c r="I11" s="3">
        <v>0</v>
      </c>
      <c r="J11" s="3">
        <v>0</v>
      </c>
      <c r="K11" s="3">
        <v>0</v>
      </c>
      <c r="L11" s="3">
        <v>7</v>
      </c>
      <c r="M11" s="3">
        <v>13</v>
      </c>
      <c r="N11" s="3">
        <v>2</v>
      </c>
      <c r="O11" s="3">
        <v>9</v>
      </c>
      <c r="P11" s="3">
        <v>9</v>
      </c>
      <c r="Q11" s="3">
        <v>11</v>
      </c>
      <c r="R11" s="3">
        <v>1</v>
      </c>
      <c r="S11" s="2">
        <f t="shared" si="2"/>
        <v>52</v>
      </c>
      <c r="T11" s="4">
        <f t="shared" si="3"/>
        <v>8904.038461538461</v>
      </c>
    </row>
    <row r="12" spans="1:21" hidden="1" x14ac:dyDescent="0.3">
      <c r="A12">
        <v>353870905000069</v>
      </c>
      <c r="B12" t="s">
        <v>217</v>
      </c>
      <c r="C12" t="s">
        <v>34</v>
      </c>
      <c r="D12">
        <v>1</v>
      </c>
      <c r="E12">
        <v>0</v>
      </c>
      <c r="F12" s="1">
        <v>1475941</v>
      </c>
      <c r="G12" s="1">
        <v>1475941</v>
      </c>
      <c r="H12" s="1">
        <v>0</v>
      </c>
      <c r="I12" s="3">
        <v>0</v>
      </c>
      <c r="J12" s="3">
        <v>0</v>
      </c>
      <c r="K12" s="3">
        <v>2</v>
      </c>
      <c r="L12" s="3">
        <v>10</v>
      </c>
      <c r="M12" s="3">
        <v>29</v>
      </c>
      <c r="N12" s="3">
        <v>14</v>
      </c>
      <c r="O12" s="3">
        <v>30</v>
      </c>
      <c r="P12" s="3">
        <v>39</v>
      </c>
      <c r="Q12" s="3">
        <v>42</v>
      </c>
      <c r="R12" s="3">
        <v>0</v>
      </c>
      <c r="S12" s="2">
        <f t="shared" si="2"/>
        <v>166</v>
      </c>
      <c r="T12" s="4">
        <f t="shared" si="3"/>
        <v>8891.2108433734938</v>
      </c>
    </row>
    <row r="13" spans="1:21" hidden="1" x14ac:dyDescent="0.3">
      <c r="A13">
        <v>353870905000571</v>
      </c>
      <c r="B13" t="s">
        <v>217</v>
      </c>
      <c r="C13" t="s">
        <v>37</v>
      </c>
      <c r="D13">
        <v>1</v>
      </c>
      <c r="E13">
        <v>0</v>
      </c>
      <c r="F13" s="1">
        <v>862570</v>
      </c>
      <c r="G13" s="1">
        <v>862570</v>
      </c>
      <c r="H13" s="1">
        <v>0</v>
      </c>
      <c r="I13" s="3">
        <v>0</v>
      </c>
      <c r="J13" s="3">
        <v>0</v>
      </c>
      <c r="K13" s="3">
        <v>1</v>
      </c>
      <c r="L13" s="3">
        <v>2</v>
      </c>
      <c r="M13" s="3">
        <v>7</v>
      </c>
      <c r="N13" s="3">
        <v>9</v>
      </c>
      <c r="O13" s="3">
        <v>26</v>
      </c>
      <c r="P13" s="3">
        <v>32</v>
      </c>
      <c r="Q13" s="3">
        <v>24</v>
      </c>
      <c r="R13" s="3">
        <v>1</v>
      </c>
      <c r="S13" s="2">
        <f t="shared" si="2"/>
        <v>102</v>
      </c>
      <c r="T13" s="4">
        <f t="shared" si="3"/>
        <v>8456.5686274509808</v>
      </c>
    </row>
    <row r="14" spans="1:21" hidden="1" x14ac:dyDescent="0.3">
      <c r="A14">
        <v>353870905000097</v>
      </c>
      <c r="B14" t="s">
        <v>217</v>
      </c>
      <c r="C14" t="s">
        <v>25</v>
      </c>
      <c r="D14">
        <v>1</v>
      </c>
      <c r="E14">
        <v>0</v>
      </c>
      <c r="F14" s="1">
        <v>2494809</v>
      </c>
      <c r="G14" s="1">
        <v>2494809</v>
      </c>
      <c r="H14" s="1">
        <v>0</v>
      </c>
      <c r="I14" s="3">
        <v>0</v>
      </c>
      <c r="J14" s="3">
        <v>1</v>
      </c>
      <c r="K14" s="3">
        <v>6</v>
      </c>
      <c r="L14" s="3">
        <v>11</v>
      </c>
      <c r="M14" s="3">
        <v>49</v>
      </c>
      <c r="N14" s="3">
        <v>55</v>
      </c>
      <c r="O14" s="3">
        <v>72</v>
      </c>
      <c r="P14" s="3">
        <v>72</v>
      </c>
      <c r="Q14" s="3">
        <v>34</v>
      </c>
      <c r="R14" s="3">
        <v>2</v>
      </c>
      <c r="S14" s="2">
        <f t="shared" si="2"/>
        <v>302</v>
      </c>
      <c r="T14" s="4">
        <f t="shared" si="3"/>
        <v>8260.9569536423842</v>
      </c>
    </row>
    <row r="15" spans="1:21" hidden="1" x14ac:dyDescent="0.3">
      <c r="A15">
        <v>353870905000054</v>
      </c>
      <c r="B15" t="s">
        <v>217</v>
      </c>
      <c r="C15" t="s">
        <v>28</v>
      </c>
      <c r="D15">
        <v>1</v>
      </c>
      <c r="E15">
        <v>0</v>
      </c>
      <c r="F15" s="1">
        <v>1512918</v>
      </c>
      <c r="G15" s="1">
        <v>1512918</v>
      </c>
      <c r="H15" s="1">
        <v>0</v>
      </c>
      <c r="I15" s="3">
        <v>0</v>
      </c>
      <c r="J15" s="3">
        <v>0</v>
      </c>
      <c r="K15" s="3">
        <v>2</v>
      </c>
      <c r="L15" s="3">
        <v>7</v>
      </c>
      <c r="M15" s="3">
        <v>21</v>
      </c>
      <c r="N15" s="3">
        <v>26</v>
      </c>
      <c r="O15" s="3">
        <v>35</v>
      </c>
      <c r="P15" s="3">
        <v>48</v>
      </c>
      <c r="Q15" s="3">
        <v>45</v>
      </c>
      <c r="R15" s="3">
        <v>0</v>
      </c>
      <c r="S15" s="2">
        <f t="shared" si="2"/>
        <v>184</v>
      </c>
      <c r="T15" s="4">
        <f t="shared" si="3"/>
        <v>8222.3804347826081</v>
      </c>
    </row>
    <row r="16" spans="1:21" hidden="1" x14ac:dyDescent="0.3">
      <c r="A16">
        <v>353870910000005</v>
      </c>
      <c r="B16" t="s">
        <v>217</v>
      </c>
      <c r="C16" t="s">
        <v>218</v>
      </c>
      <c r="D16">
        <v>1</v>
      </c>
      <c r="E16">
        <v>0</v>
      </c>
      <c r="F16" s="1">
        <v>1175109</v>
      </c>
      <c r="G16" s="1">
        <v>1175109</v>
      </c>
      <c r="H16" s="1">
        <v>0</v>
      </c>
      <c r="I16" s="3">
        <v>0</v>
      </c>
      <c r="J16" s="3">
        <v>0</v>
      </c>
      <c r="K16" s="3">
        <v>1</v>
      </c>
      <c r="L16" s="3">
        <v>6</v>
      </c>
      <c r="M16" s="3">
        <v>26</v>
      </c>
      <c r="N16" s="3">
        <v>21</v>
      </c>
      <c r="O16" s="3">
        <v>36</v>
      </c>
      <c r="P16" s="3">
        <v>35</v>
      </c>
      <c r="Q16" s="3">
        <v>19</v>
      </c>
      <c r="R16" s="3">
        <v>1</v>
      </c>
      <c r="S16" s="2">
        <f t="shared" si="2"/>
        <v>145</v>
      </c>
      <c r="T16" s="4">
        <f t="shared" si="3"/>
        <v>8104.2</v>
      </c>
    </row>
    <row r="17" spans="1:20" hidden="1" x14ac:dyDescent="0.3">
      <c r="A17">
        <v>353870905000115</v>
      </c>
      <c r="B17" t="s">
        <v>217</v>
      </c>
      <c r="C17" t="s">
        <v>140</v>
      </c>
      <c r="D17">
        <v>1</v>
      </c>
      <c r="E17">
        <v>0</v>
      </c>
      <c r="F17" s="1">
        <v>1279727</v>
      </c>
      <c r="G17" s="1">
        <v>1279727</v>
      </c>
      <c r="H17" s="1">
        <v>0</v>
      </c>
      <c r="I17" s="3">
        <v>0</v>
      </c>
      <c r="J17" s="3">
        <v>1</v>
      </c>
      <c r="K17" s="3">
        <v>9</v>
      </c>
      <c r="L17" s="3">
        <v>24</v>
      </c>
      <c r="M17" s="3">
        <v>48</v>
      </c>
      <c r="N17" s="3">
        <v>34</v>
      </c>
      <c r="O17" s="3">
        <v>29</v>
      </c>
      <c r="P17" s="3">
        <v>10</v>
      </c>
      <c r="Q17" s="3">
        <v>2</v>
      </c>
      <c r="R17" s="3">
        <v>1</v>
      </c>
      <c r="S17" s="2">
        <f t="shared" si="2"/>
        <v>158</v>
      </c>
      <c r="T17" s="4">
        <f t="shared" si="3"/>
        <v>8099.5379746835442</v>
      </c>
    </row>
    <row r="18" spans="1:20" hidden="1" x14ac:dyDescent="0.3">
      <c r="A18">
        <v>353870905000039</v>
      </c>
      <c r="B18" t="s">
        <v>217</v>
      </c>
      <c r="C18" t="s">
        <v>22</v>
      </c>
      <c r="D18">
        <v>1</v>
      </c>
      <c r="E18">
        <v>0</v>
      </c>
      <c r="F18" s="1">
        <v>483454</v>
      </c>
      <c r="G18" s="1">
        <v>483454</v>
      </c>
      <c r="H18" s="1">
        <v>0</v>
      </c>
      <c r="I18" s="3">
        <v>0</v>
      </c>
      <c r="J18" s="3">
        <v>0</v>
      </c>
      <c r="K18" s="3">
        <v>1</v>
      </c>
      <c r="L18" s="3">
        <v>3</v>
      </c>
      <c r="M18" s="3">
        <v>4</v>
      </c>
      <c r="N18" s="3">
        <v>7</v>
      </c>
      <c r="O18" s="3">
        <v>21</v>
      </c>
      <c r="P18" s="3">
        <v>15</v>
      </c>
      <c r="Q18" s="3">
        <v>8</v>
      </c>
      <c r="R18" s="3">
        <v>2</v>
      </c>
      <c r="S18" s="2">
        <f t="shared" si="2"/>
        <v>61</v>
      </c>
      <c r="T18" s="4">
        <f t="shared" si="3"/>
        <v>7925.4754098360654</v>
      </c>
    </row>
    <row r="19" spans="1:20" hidden="1" x14ac:dyDescent="0.3">
      <c r="A19">
        <v>353870905000038</v>
      </c>
      <c r="B19" t="s">
        <v>217</v>
      </c>
      <c r="C19" t="s">
        <v>22</v>
      </c>
      <c r="D19">
        <v>1</v>
      </c>
      <c r="E19">
        <v>0</v>
      </c>
      <c r="F19" s="1">
        <v>1032622</v>
      </c>
      <c r="G19" s="1">
        <v>1032622</v>
      </c>
      <c r="H19" s="1">
        <v>0</v>
      </c>
      <c r="I19" s="3">
        <v>1</v>
      </c>
      <c r="J19" s="3">
        <v>0</v>
      </c>
      <c r="K19" s="3">
        <v>3</v>
      </c>
      <c r="L19" s="3">
        <v>3</v>
      </c>
      <c r="M19" s="3">
        <v>21</v>
      </c>
      <c r="N19" s="3">
        <v>15</v>
      </c>
      <c r="O19" s="3">
        <v>30</v>
      </c>
      <c r="P19" s="3">
        <v>29</v>
      </c>
      <c r="Q19" s="3">
        <v>27</v>
      </c>
      <c r="R19" s="3">
        <v>2</v>
      </c>
      <c r="S19" s="2">
        <f t="shared" si="2"/>
        <v>131</v>
      </c>
      <c r="T19" s="4">
        <f t="shared" si="3"/>
        <v>7882.6106870229005</v>
      </c>
    </row>
    <row r="20" spans="1:20" hidden="1" x14ac:dyDescent="0.3">
      <c r="A20">
        <v>353870905000073</v>
      </c>
      <c r="B20" t="s">
        <v>217</v>
      </c>
      <c r="C20" t="s">
        <v>167</v>
      </c>
      <c r="D20">
        <v>1</v>
      </c>
      <c r="E20">
        <v>0</v>
      </c>
      <c r="F20" s="1">
        <v>1372850</v>
      </c>
      <c r="G20" s="1">
        <v>1372850</v>
      </c>
      <c r="H20" s="1">
        <v>0</v>
      </c>
      <c r="I20" s="3">
        <v>0</v>
      </c>
      <c r="J20" s="3">
        <v>0</v>
      </c>
      <c r="K20" s="3">
        <v>1</v>
      </c>
      <c r="L20" s="3">
        <v>8</v>
      </c>
      <c r="M20" s="3">
        <v>24</v>
      </c>
      <c r="N20" s="3">
        <v>21</v>
      </c>
      <c r="O20" s="3">
        <v>40</v>
      </c>
      <c r="P20" s="3">
        <v>49</v>
      </c>
      <c r="Q20" s="3">
        <v>31</v>
      </c>
      <c r="R20" s="3">
        <v>1</v>
      </c>
      <c r="S20" s="2">
        <f t="shared" si="2"/>
        <v>175</v>
      </c>
      <c r="T20" s="4">
        <f t="shared" si="3"/>
        <v>7844.8571428571431</v>
      </c>
    </row>
    <row r="21" spans="1:20" hidden="1" x14ac:dyDescent="0.3">
      <c r="A21">
        <v>353870905000062</v>
      </c>
      <c r="B21" t="s">
        <v>217</v>
      </c>
      <c r="C21" t="s">
        <v>34</v>
      </c>
      <c r="D21">
        <v>1</v>
      </c>
      <c r="E21">
        <v>0</v>
      </c>
      <c r="F21" s="1">
        <v>1337144</v>
      </c>
      <c r="G21" s="1">
        <v>1337144</v>
      </c>
      <c r="H21" s="1">
        <v>0</v>
      </c>
      <c r="I21" s="3">
        <v>0</v>
      </c>
      <c r="J21" s="3">
        <v>0</v>
      </c>
      <c r="K21" s="3">
        <v>1</v>
      </c>
      <c r="L21" s="3">
        <v>15</v>
      </c>
      <c r="M21" s="3">
        <v>23</v>
      </c>
      <c r="N21" s="3">
        <v>22</v>
      </c>
      <c r="O21" s="3">
        <v>33</v>
      </c>
      <c r="P21" s="3">
        <v>40</v>
      </c>
      <c r="Q21" s="3">
        <v>31</v>
      </c>
      <c r="R21" s="3">
        <v>7</v>
      </c>
      <c r="S21" s="2">
        <f t="shared" si="2"/>
        <v>172</v>
      </c>
      <c r="T21" s="4">
        <f t="shared" si="3"/>
        <v>7774.0930232558139</v>
      </c>
    </row>
    <row r="22" spans="1:20" hidden="1" x14ac:dyDescent="0.3">
      <c r="A22">
        <v>353870905000056</v>
      </c>
      <c r="B22" t="s">
        <v>217</v>
      </c>
      <c r="C22" t="s">
        <v>25</v>
      </c>
      <c r="D22">
        <v>1</v>
      </c>
      <c r="E22">
        <v>0</v>
      </c>
      <c r="F22" s="1">
        <v>1841557</v>
      </c>
      <c r="G22" s="1">
        <v>1841557</v>
      </c>
      <c r="H22" s="1">
        <v>0</v>
      </c>
      <c r="I22" s="3">
        <v>0</v>
      </c>
      <c r="J22" s="3">
        <v>1</v>
      </c>
      <c r="K22" s="3">
        <v>2</v>
      </c>
      <c r="L22" s="3">
        <v>10</v>
      </c>
      <c r="M22" s="3">
        <v>35</v>
      </c>
      <c r="N22" s="3">
        <v>37</v>
      </c>
      <c r="O22" s="3">
        <v>44</v>
      </c>
      <c r="P22" s="3">
        <v>62</v>
      </c>
      <c r="Q22" s="3">
        <v>30</v>
      </c>
      <c r="R22" s="3">
        <v>16</v>
      </c>
      <c r="S22" s="2">
        <f t="shared" si="2"/>
        <v>237</v>
      </c>
      <c r="T22" s="4">
        <f t="shared" si="3"/>
        <v>7770.2827004219407</v>
      </c>
    </row>
    <row r="23" spans="1:20" hidden="1" x14ac:dyDescent="0.3">
      <c r="A23">
        <v>353870905000055</v>
      </c>
      <c r="B23" t="s">
        <v>217</v>
      </c>
      <c r="C23" t="s">
        <v>28</v>
      </c>
      <c r="D23">
        <v>1</v>
      </c>
      <c r="E23">
        <v>0</v>
      </c>
      <c r="F23" s="1">
        <v>1228595</v>
      </c>
      <c r="G23" s="1">
        <v>1228595</v>
      </c>
      <c r="H23" s="1">
        <v>0</v>
      </c>
      <c r="I23" s="3">
        <v>0</v>
      </c>
      <c r="J23" s="3">
        <v>1</v>
      </c>
      <c r="K23" s="3">
        <v>2</v>
      </c>
      <c r="L23" s="3">
        <v>10</v>
      </c>
      <c r="M23" s="3">
        <v>25</v>
      </c>
      <c r="N23" s="3">
        <v>28</v>
      </c>
      <c r="O23" s="3">
        <v>27</v>
      </c>
      <c r="P23" s="3">
        <v>35</v>
      </c>
      <c r="Q23" s="3">
        <v>26</v>
      </c>
      <c r="R23" s="3">
        <v>5</v>
      </c>
      <c r="S23" s="2">
        <f t="shared" si="2"/>
        <v>159</v>
      </c>
      <c r="T23" s="4">
        <f t="shared" si="3"/>
        <v>7727.0125786163526</v>
      </c>
    </row>
    <row r="24" spans="1:20" hidden="1" x14ac:dyDescent="0.3">
      <c r="A24">
        <v>353870905000012</v>
      </c>
      <c r="B24" t="s">
        <v>217</v>
      </c>
      <c r="C24" t="s">
        <v>28</v>
      </c>
      <c r="D24">
        <v>1</v>
      </c>
      <c r="E24">
        <v>0</v>
      </c>
      <c r="F24" s="1">
        <v>880595</v>
      </c>
      <c r="G24" s="1">
        <v>880595</v>
      </c>
      <c r="H24" s="1">
        <v>0</v>
      </c>
      <c r="I24" s="3">
        <v>0</v>
      </c>
      <c r="J24" s="3">
        <v>0</v>
      </c>
      <c r="K24" s="3">
        <v>0</v>
      </c>
      <c r="L24" s="3">
        <v>3</v>
      </c>
      <c r="M24" s="3">
        <v>14</v>
      </c>
      <c r="N24" s="3">
        <v>14</v>
      </c>
      <c r="O24" s="3">
        <v>26</v>
      </c>
      <c r="P24" s="3">
        <v>32</v>
      </c>
      <c r="Q24" s="3">
        <v>24</v>
      </c>
      <c r="R24" s="3">
        <v>1</v>
      </c>
      <c r="S24" s="2">
        <f t="shared" si="2"/>
        <v>114</v>
      </c>
      <c r="T24" s="4">
        <f t="shared" si="3"/>
        <v>7724.5175438596489</v>
      </c>
    </row>
    <row r="25" spans="1:20" hidden="1" x14ac:dyDescent="0.3">
      <c r="A25">
        <v>353870905000111</v>
      </c>
      <c r="B25" t="s">
        <v>217</v>
      </c>
      <c r="C25" t="s">
        <v>37</v>
      </c>
      <c r="D25">
        <v>1</v>
      </c>
      <c r="E25">
        <v>0</v>
      </c>
      <c r="F25" s="1">
        <v>1755268</v>
      </c>
      <c r="G25" s="1">
        <v>1755268</v>
      </c>
      <c r="H25" s="1">
        <v>0</v>
      </c>
      <c r="I25" s="3">
        <v>0</v>
      </c>
      <c r="J25" s="3">
        <v>0</v>
      </c>
      <c r="K25" s="3">
        <v>6</v>
      </c>
      <c r="L25" s="3">
        <v>32</v>
      </c>
      <c r="M25" s="3">
        <v>46</v>
      </c>
      <c r="N25" s="3">
        <v>32</v>
      </c>
      <c r="O25" s="3">
        <v>36</v>
      </c>
      <c r="P25" s="3">
        <v>49</v>
      </c>
      <c r="Q25" s="3">
        <v>32</v>
      </c>
      <c r="R25" s="3">
        <v>3</v>
      </c>
      <c r="S25" s="2">
        <f t="shared" si="2"/>
        <v>236</v>
      </c>
      <c r="T25" s="4">
        <f t="shared" si="3"/>
        <v>7437.5762711864409</v>
      </c>
    </row>
    <row r="26" spans="1:20" hidden="1" x14ac:dyDescent="0.3">
      <c r="A26">
        <v>353870905000011</v>
      </c>
      <c r="B26" t="s">
        <v>217</v>
      </c>
      <c r="C26" t="s">
        <v>28</v>
      </c>
      <c r="D26">
        <v>1</v>
      </c>
      <c r="E26">
        <v>0</v>
      </c>
      <c r="F26" s="1">
        <v>1103860</v>
      </c>
      <c r="G26" s="1">
        <v>1103860</v>
      </c>
      <c r="H26" s="1">
        <v>0</v>
      </c>
      <c r="I26" s="3">
        <v>0</v>
      </c>
      <c r="J26" s="3">
        <v>0</v>
      </c>
      <c r="K26" s="3">
        <v>3</v>
      </c>
      <c r="L26" s="3">
        <v>2</v>
      </c>
      <c r="M26" s="3">
        <v>14</v>
      </c>
      <c r="N26" s="3">
        <v>10</v>
      </c>
      <c r="O26" s="3">
        <v>36</v>
      </c>
      <c r="P26" s="3">
        <v>56</v>
      </c>
      <c r="Q26" s="3">
        <v>25</v>
      </c>
      <c r="R26" s="3">
        <v>3</v>
      </c>
      <c r="S26" s="2">
        <f t="shared" si="2"/>
        <v>149</v>
      </c>
      <c r="T26" s="4">
        <f t="shared" si="3"/>
        <v>7408.4563758389259</v>
      </c>
    </row>
    <row r="27" spans="1:20" hidden="1" x14ac:dyDescent="0.3">
      <c r="A27">
        <v>353870905000186</v>
      </c>
      <c r="B27" t="s">
        <v>217</v>
      </c>
      <c r="C27" t="s">
        <v>25</v>
      </c>
      <c r="D27">
        <v>1</v>
      </c>
      <c r="E27">
        <v>0</v>
      </c>
      <c r="F27" s="1">
        <v>1606898</v>
      </c>
      <c r="G27" s="1">
        <v>1606898</v>
      </c>
      <c r="H27" s="1">
        <v>0</v>
      </c>
      <c r="I27" s="3">
        <v>0</v>
      </c>
      <c r="J27" s="3">
        <v>0</v>
      </c>
      <c r="K27" s="3">
        <v>1</v>
      </c>
      <c r="L27" s="3">
        <v>10</v>
      </c>
      <c r="M27" s="3">
        <v>31</v>
      </c>
      <c r="N27" s="3">
        <v>50</v>
      </c>
      <c r="O27" s="3">
        <v>66</v>
      </c>
      <c r="P27" s="3">
        <v>38</v>
      </c>
      <c r="Q27" s="3">
        <v>18</v>
      </c>
      <c r="R27" s="3">
        <v>3</v>
      </c>
      <c r="S27" s="2">
        <f t="shared" si="2"/>
        <v>217</v>
      </c>
      <c r="T27" s="4">
        <f t="shared" si="3"/>
        <v>7405.0599078341011</v>
      </c>
    </row>
    <row r="28" spans="1:20" hidden="1" x14ac:dyDescent="0.3">
      <c r="A28">
        <v>353870905000305</v>
      </c>
      <c r="B28" t="s">
        <v>217</v>
      </c>
      <c r="C28" t="s">
        <v>79</v>
      </c>
      <c r="D28">
        <v>1</v>
      </c>
      <c r="E28">
        <v>0</v>
      </c>
      <c r="F28" s="1">
        <v>990337</v>
      </c>
      <c r="G28" s="1">
        <v>990337</v>
      </c>
      <c r="H28" s="1">
        <v>0</v>
      </c>
      <c r="I28" s="3">
        <v>0</v>
      </c>
      <c r="J28" s="3">
        <v>0</v>
      </c>
      <c r="K28" s="3">
        <v>5</v>
      </c>
      <c r="L28" s="3">
        <v>27</v>
      </c>
      <c r="M28" s="3">
        <v>32</v>
      </c>
      <c r="N28" s="3">
        <v>19</v>
      </c>
      <c r="O28" s="3">
        <v>23</v>
      </c>
      <c r="P28" s="3">
        <v>16</v>
      </c>
      <c r="Q28" s="3">
        <v>12</v>
      </c>
      <c r="R28" s="3">
        <v>0</v>
      </c>
      <c r="S28" s="2">
        <f t="shared" si="2"/>
        <v>134</v>
      </c>
      <c r="T28" s="4">
        <f t="shared" si="3"/>
        <v>7390.5746268656712</v>
      </c>
    </row>
    <row r="29" spans="1:20" hidden="1" x14ac:dyDescent="0.3">
      <c r="A29">
        <v>353870905000027</v>
      </c>
      <c r="B29" t="s">
        <v>217</v>
      </c>
      <c r="C29" t="s">
        <v>28</v>
      </c>
      <c r="D29">
        <v>1</v>
      </c>
      <c r="E29">
        <v>0</v>
      </c>
      <c r="F29" s="1">
        <v>763869</v>
      </c>
      <c r="G29" s="1">
        <v>763869</v>
      </c>
      <c r="H29" s="1">
        <v>0</v>
      </c>
      <c r="I29" s="3">
        <v>0</v>
      </c>
      <c r="J29" s="3">
        <v>1</v>
      </c>
      <c r="K29" s="3">
        <v>3</v>
      </c>
      <c r="L29" s="3">
        <v>9</v>
      </c>
      <c r="M29" s="3">
        <v>11</v>
      </c>
      <c r="N29" s="3">
        <v>13</v>
      </c>
      <c r="O29" s="3">
        <v>23</v>
      </c>
      <c r="P29" s="3">
        <v>26</v>
      </c>
      <c r="Q29" s="3">
        <v>22</v>
      </c>
      <c r="R29" s="3">
        <v>0</v>
      </c>
      <c r="S29" s="2">
        <f t="shared" si="2"/>
        <v>108</v>
      </c>
      <c r="T29" s="4">
        <f t="shared" si="3"/>
        <v>7072.8611111111113</v>
      </c>
    </row>
    <row r="30" spans="1:20" hidden="1" x14ac:dyDescent="0.3">
      <c r="A30">
        <v>353870905000028</v>
      </c>
      <c r="B30" t="s">
        <v>217</v>
      </c>
      <c r="C30" t="s">
        <v>28</v>
      </c>
      <c r="D30">
        <v>1</v>
      </c>
      <c r="E30">
        <v>0</v>
      </c>
      <c r="F30" s="1">
        <v>1246807</v>
      </c>
      <c r="G30" s="1">
        <v>1246807</v>
      </c>
      <c r="H30" s="1">
        <v>0</v>
      </c>
      <c r="I30" s="3">
        <v>0</v>
      </c>
      <c r="J30" s="3">
        <v>1</v>
      </c>
      <c r="K30" s="3">
        <v>2</v>
      </c>
      <c r="L30" s="3">
        <v>7</v>
      </c>
      <c r="M30" s="3">
        <v>26</v>
      </c>
      <c r="N30" s="3">
        <v>33</v>
      </c>
      <c r="O30" s="3">
        <v>52</v>
      </c>
      <c r="P30" s="3">
        <v>34</v>
      </c>
      <c r="Q30" s="3">
        <v>20</v>
      </c>
      <c r="R30" s="3">
        <v>2</v>
      </c>
      <c r="S30" s="2">
        <f t="shared" si="2"/>
        <v>177</v>
      </c>
      <c r="T30" s="4">
        <f t="shared" si="3"/>
        <v>7044.1073446327682</v>
      </c>
    </row>
    <row r="31" spans="1:20" hidden="1" x14ac:dyDescent="0.3">
      <c r="A31">
        <v>353870905000096</v>
      </c>
      <c r="B31" t="s">
        <v>217</v>
      </c>
      <c r="C31" t="s">
        <v>28</v>
      </c>
      <c r="D31">
        <v>1</v>
      </c>
      <c r="E31">
        <v>0</v>
      </c>
      <c r="F31" s="1">
        <v>1200078</v>
      </c>
      <c r="G31" s="1">
        <v>1200078</v>
      </c>
      <c r="H31" s="1">
        <v>0</v>
      </c>
      <c r="I31" s="3">
        <v>0</v>
      </c>
      <c r="J31" s="3">
        <v>1</v>
      </c>
      <c r="K31" s="3">
        <v>1</v>
      </c>
      <c r="L31" s="3">
        <v>13</v>
      </c>
      <c r="M31" s="3">
        <v>37</v>
      </c>
      <c r="N31" s="3">
        <v>30</v>
      </c>
      <c r="O31" s="3">
        <v>30</v>
      </c>
      <c r="P31" s="3">
        <v>44</v>
      </c>
      <c r="Q31" s="3">
        <v>14</v>
      </c>
      <c r="R31" s="3">
        <v>1</v>
      </c>
      <c r="S31" s="2">
        <f t="shared" si="2"/>
        <v>171</v>
      </c>
      <c r="T31" s="4">
        <f t="shared" si="3"/>
        <v>7018</v>
      </c>
    </row>
    <row r="32" spans="1:20" hidden="1" x14ac:dyDescent="0.3">
      <c r="A32">
        <v>353870905000485</v>
      </c>
      <c r="B32" t="s">
        <v>217</v>
      </c>
      <c r="C32" t="s">
        <v>48</v>
      </c>
      <c r="D32">
        <v>1</v>
      </c>
      <c r="E32">
        <v>0</v>
      </c>
      <c r="F32" s="1">
        <v>140284</v>
      </c>
      <c r="G32" s="1">
        <v>140284</v>
      </c>
      <c r="H32" s="1">
        <v>0</v>
      </c>
      <c r="I32" s="3">
        <v>0</v>
      </c>
      <c r="J32" s="3">
        <v>0</v>
      </c>
      <c r="K32" s="3">
        <v>0</v>
      </c>
      <c r="L32" s="3">
        <v>2</v>
      </c>
      <c r="M32" s="3">
        <v>3</v>
      </c>
      <c r="N32" s="3">
        <v>2</v>
      </c>
      <c r="O32" s="3">
        <v>5</v>
      </c>
      <c r="P32" s="3">
        <v>6</v>
      </c>
      <c r="Q32" s="3">
        <v>2</v>
      </c>
      <c r="R32" s="3">
        <v>0</v>
      </c>
      <c r="S32" s="2">
        <f t="shared" si="2"/>
        <v>20</v>
      </c>
      <c r="T32" s="4">
        <f t="shared" si="3"/>
        <v>7014.2</v>
      </c>
    </row>
    <row r="33" spans="1:20" hidden="1" x14ac:dyDescent="0.3">
      <c r="A33">
        <v>353870905000185</v>
      </c>
      <c r="B33" t="s">
        <v>217</v>
      </c>
      <c r="C33" t="s">
        <v>62</v>
      </c>
      <c r="D33">
        <v>1</v>
      </c>
      <c r="E33">
        <v>0</v>
      </c>
      <c r="F33" s="1">
        <v>1699494</v>
      </c>
      <c r="G33" s="1">
        <v>1699494</v>
      </c>
      <c r="H33" s="1">
        <v>0</v>
      </c>
      <c r="I33" s="3">
        <v>0</v>
      </c>
      <c r="J33" s="3">
        <v>1</v>
      </c>
      <c r="K33" s="3">
        <v>2</v>
      </c>
      <c r="L33" s="3">
        <v>10</v>
      </c>
      <c r="M33" s="3">
        <v>48</v>
      </c>
      <c r="N33" s="3">
        <v>38</v>
      </c>
      <c r="O33" s="3">
        <v>70</v>
      </c>
      <c r="P33" s="3">
        <v>50</v>
      </c>
      <c r="Q33" s="3">
        <v>25</v>
      </c>
      <c r="R33" s="3">
        <v>6</v>
      </c>
      <c r="S33" s="2">
        <f t="shared" si="2"/>
        <v>250</v>
      </c>
      <c r="T33" s="4">
        <f t="shared" si="3"/>
        <v>6797.9759999999997</v>
      </c>
    </row>
    <row r="34" spans="1:20" hidden="1" x14ac:dyDescent="0.3">
      <c r="A34">
        <v>353870905000303</v>
      </c>
      <c r="B34" t="s">
        <v>217</v>
      </c>
      <c r="C34" t="s">
        <v>48</v>
      </c>
      <c r="D34">
        <v>1</v>
      </c>
      <c r="E34">
        <v>0</v>
      </c>
      <c r="F34" s="1">
        <v>1534135</v>
      </c>
      <c r="G34" s="1">
        <v>1534135</v>
      </c>
      <c r="H34" s="1">
        <v>0</v>
      </c>
      <c r="I34" s="3">
        <v>0</v>
      </c>
      <c r="J34" s="3">
        <v>0</v>
      </c>
      <c r="K34" s="3">
        <v>2</v>
      </c>
      <c r="L34" s="3">
        <v>12</v>
      </c>
      <c r="M34" s="3">
        <v>44</v>
      </c>
      <c r="N34" s="3">
        <v>46</v>
      </c>
      <c r="O34" s="3">
        <v>52</v>
      </c>
      <c r="P34" s="3">
        <v>53</v>
      </c>
      <c r="Q34" s="3">
        <v>15</v>
      </c>
      <c r="R34" s="3">
        <v>2</v>
      </c>
      <c r="S34" s="2">
        <f t="shared" si="2"/>
        <v>226</v>
      </c>
      <c r="T34" s="4">
        <f t="shared" si="3"/>
        <v>6788.2079646017701</v>
      </c>
    </row>
    <row r="35" spans="1:20" hidden="1" x14ac:dyDescent="0.3">
      <c r="A35">
        <v>353870905000145</v>
      </c>
      <c r="B35" t="s">
        <v>217</v>
      </c>
      <c r="C35" t="s">
        <v>31</v>
      </c>
      <c r="D35">
        <v>1</v>
      </c>
      <c r="E35">
        <v>0</v>
      </c>
      <c r="F35" s="1">
        <v>1292873</v>
      </c>
      <c r="G35" s="1">
        <v>1292873</v>
      </c>
      <c r="H35" s="1">
        <v>0</v>
      </c>
      <c r="I35" s="3">
        <v>0</v>
      </c>
      <c r="J35" s="3">
        <v>0</v>
      </c>
      <c r="K35" s="3">
        <v>1</v>
      </c>
      <c r="L35" s="3">
        <v>8</v>
      </c>
      <c r="M35" s="3">
        <v>17</v>
      </c>
      <c r="N35" s="3">
        <v>26</v>
      </c>
      <c r="O35" s="3">
        <v>61</v>
      </c>
      <c r="P35" s="3">
        <v>51</v>
      </c>
      <c r="Q35" s="3">
        <v>26</v>
      </c>
      <c r="R35" s="3">
        <v>2</v>
      </c>
      <c r="S35" s="2">
        <f t="shared" si="2"/>
        <v>192</v>
      </c>
      <c r="T35" s="4">
        <f t="shared" si="3"/>
        <v>6733.713541666667</v>
      </c>
    </row>
    <row r="36" spans="1:20" hidden="1" x14ac:dyDescent="0.3">
      <c r="A36">
        <v>353870905000052</v>
      </c>
      <c r="B36" t="s">
        <v>217</v>
      </c>
      <c r="C36" t="s">
        <v>28</v>
      </c>
      <c r="D36">
        <v>1</v>
      </c>
      <c r="E36">
        <v>0</v>
      </c>
      <c r="F36" s="1">
        <v>1208040</v>
      </c>
      <c r="G36" s="1">
        <v>1208040</v>
      </c>
      <c r="H36" s="1">
        <v>0</v>
      </c>
      <c r="I36" s="3">
        <v>0</v>
      </c>
      <c r="J36" s="3">
        <v>0</v>
      </c>
      <c r="K36" s="3">
        <v>0</v>
      </c>
      <c r="L36" s="3">
        <v>13</v>
      </c>
      <c r="M36" s="3">
        <v>31</v>
      </c>
      <c r="N36" s="3">
        <v>25</v>
      </c>
      <c r="O36" s="3">
        <v>34</v>
      </c>
      <c r="P36" s="3">
        <v>55</v>
      </c>
      <c r="Q36" s="3">
        <v>24</v>
      </c>
      <c r="R36" s="3">
        <v>2</v>
      </c>
      <c r="S36" s="2">
        <f t="shared" si="2"/>
        <v>184</v>
      </c>
      <c r="T36" s="4">
        <f t="shared" si="3"/>
        <v>6565.434782608696</v>
      </c>
    </row>
    <row r="37" spans="1:20" hidden="1" x14ac:dyDescent="0.3">
      <c r="A37">
        <v>353870905000099</v>
      </c>
      <c r="B37" t="s">
        <v>217</v>
      </c>
      <c r="C37" t="s">
        <v>25</v>
      </c>
      <c r="D37">
        <v>1</v>
      </c>
      <c r="E37">
        <v>0</v>
      </c>
      <c r="F37" s="1">
        <v>1548437</v>
      </c>
      <c r="G37" s="1">
        <v>1548437</v>
      </c>
      <c r="H37" s="1">
        <v>0</v>
      </c>
      <c r="I37" s="3">
        <v>1</v>
      </c>
      <c r="J37" s="3">
        <v>0</v>
      </c>
      <c r="K37" s="3">
        <v>6</v>
      </c>
      <c r="L37" s="3">
        <v>21</v>
      </c>
      <c r="M37" s="3">
        <v>44</v>
      </c>
      <c r="N37" s="3">
        <v>49</v>
      </c>
      <c r="O37" s="3">
        <v>55</v>
      </c>
      <c r="P37" s="3">
        <v>47</v>
      </c>
      <c r="Q37" s="3">
        <v>14</v>
      </c>
      <c r="R37" s="3">
        <v>1</v>
      </c>
      <c r="S37" s="2">
        <f t="shared" si="2"/>
        <v>238</v>
      </c>
      <c r="T37" s="4">
        <f t="shared" si="3"/>
        <v>6506.0378151260502</v>
      </c>
    </row>
    <row r="38" spans="1:20" hidden="1" x14ac:dyDescent="0.3">
      <c r="A38">
        <v>353870905000017</v>
      </c>
      <c r="B38" t="s">
        <v>217</v>
      </c>
      <c r="C38" t="s">
        <v>45</v>
      </c>
      <c r="D38">
        <v>1</v>
      </c>
      <c r="E38">
        <v>0</v>
      </c>
      <c r="F38" s="1">
        <v>476364</v>
      </c>
      <c r="G38" s="1">
        <v>476364</v>
      </c>
      <c r="H38" s="1">
        <v>0</v>
      </c>
      <c r="I38" s="3">
        <v>0</v>
      </c>
      <c r="J38" s="3">
        <v>0</v>
      </c>
      <c r="K38" s="3">
        <v>1</v>
      </c>
      <c r="L38" s="3">
        <v>3</v>
      </c>
      <c r="M38" s="3">
        <v>10</v>
      </c>
      <c r="N38" s="3">
        <v>18</v>
      </c>
      <c r="O38" s="3">
        <v>13</v>
      </c>
      <c r="P38" s="3">
        <v>11</v>
      </c>
      <c r="Q38" s="3">
        <v>16</v>
      </c>
      <c r="R38" s="3">
        <v>3</v>
      </c>
      <c r="S38" s="2">
        <f t="shared" si="2"/>
        <v>75</v>
      </c>
      <c r="T38" s="4">
        <f t="shared" si="3"/>
        <v>6351.52</v>
      </c>
    </row>
    <row r="39" spans="1:20" hidden="1" x14ac:dyDescent="0.3">
      <c r="A39">
        <v>353870905000568</v>
      </c>
      <c r="B39" t="s">
        <v>217</v>
      </c>
      <c r="C39" t="s">
        <v>62</v>
      </c>
      <c r="D39">
        <v>1</v>
      </c>
      <c r="E39">
        <v>0</v>
      </c>
      <c r="F39" s="1">
        <v>741890</v>
      </c>
      <c r="G39" s="1">
        <v>741890</v>
      </c>
      <c r="H39" s="1">
        <v>0</v>
      </c>
      <c r="I39" s="3">
        <v>0</v>
      </c>
      <c r="J39" s="3">
        <v>0</v>
      </c>
      <c r="K39" s="3">
        <v>1</v>
      </c>
      <c r="L39" s="3">
        <v>7</v>
      </c>
      <c r="M39" s="3">
        <v>22</v>
      </c>
      <c r="N39" s="3">
        <v>19</v>
      </c>
      <c r="O39" s="3">
        <v>32</v>
      </c>
      <c r="P39" s="3">
        <v>22</v>
      </c>
      <c r="Q39" s="3">
        <v>4</v>
      </c>
      <c r="R39" s="3">
        <v>10</v>
      </c>
      <c r="S39" s="2">
        <f t="shared" si="2"/>
        <v>117</v>
      </c>
      <c r="T39" s="4">
        <f t="shared" si="3"/>
        <v>6340.9401709401709</v>
      </c>
    </row>
    <row r="40" spans="1:20" hidden="1" x14ac:dyDescent="0.3">
      <c r="A40">
        <v>353870905000377</v>
      </c>
      <c r="B40" t="s">
        <v>217</v>
      </c>
      <c r="C40" t="s">
        <v>185</v>
      </c>
      <c r="D40">
        <v>1</v>
      </c>
      <c r="E40">
        <v>0</v>
      </c>
      <c r="F40" s="1">
        <v>1596089</v>
      </c>
      <c r="G40" s="1">
        <v>1596089</v>
      </c>
      <c r="H40" s="1">
        <v>0</v>
      </c>
      <c r="I40" s="3">
        <v>0</v>
      </c>
      <c r="J40" s="3">
        <v>0</v>
      </c>
      <c r="K40" s="3">
        <v>7</v>
      </c>
      <c r="L40" s="3">
        <v>31</v>
      </c>
      <c r="M40" s="3">
        <v>55</v>
      </c>
      <c r="N40" s="3">
        <v>50</v>
      </c>
      <c r="O40" s="3">
        <v>49</v>
      </c>
      <c r="P40" s="3">
        <v>39</v>
      </c>
      <c r="Q40" s="3">
        <v>15</v>
      </c>
      <c r="R40" s="3">
        <v>8</v>
      </c>
      <c r="S40" s="2">
        <f t="shared" si="2"/>
        <v>254</v>
      </c>
      <c r="T40" s="4">
        <f t="shared" si="3"/>
        <v>6283.8149606299212</v>
      </c>
    </row>
    <row r="41" spans="1:20" hidden="1" x14ac:dyDescent="0.3">
      <c r="A41">
        <v>353870905000095</v>
      </c>
      <c r="B41" t="s">
        <v>217</v>
      </c>
      <c r="C41" t="s">
        <v>28</v>
      </c>
      <c r="D41">
        <v>1</v>
      </c>
      <c r="E41">
        <v>0</v>
      </c>
      <c r="F41" s="1">
        <v>757015</v>
      </c>
      <c r="G41" s="1">
        <v>757015</v>
      </c>
      <c r="H41" s="1">
        <v>0</v>
      </c>
      <c r="I41" s="3">
        <v>0</v>
      </c>
      <c r="J41" s="3">
        <v>0</v>
      </c>
      <c r="K41" s="3">
        <v>1</v>
      </c>
      <c r="L41" s="3">
        <v>15</v>
      </c>
      <c r="M41" s="3">
        <v>15</v>
      </c>
      <c r="N41" s="3">
        <v>21</v>
      </c>
      <c r="O41" s="3">
        <v>38</v>
      </c>
      <c r="P41" s="3">
        <v>14</v>
      </c>
      <c r="Q41" s="3">
        <v>16</v>
      </c>
      <c r="R41" s="3">
        <v>1</v>
      </c>
      <c r="S41" s="2">
        <f t="shared" si="2"/>
        <v>121</v>
      </c>
      <c r="T41" s="4">
        <f t="shared" si="3"/>
        <v>6256.3223140495866</v>
      </c>
    </row>
    <row r="42" spans="1:20" hidden="1" x14ac:dyDescent="0.3">
      <c r="A42">
        <v>353870905000187</v>
      </c>
      <c r="B42" t="s">
        <v>217</v>
      </c>
      <c r="C42" t="s">
        <v>25</v>
      </c>
      <c r="D42">
        <v>1</v>
      </c>
      <c r="E42">
        <v>0</v>
      </c>
      <c r="F42" s="1">
        <v>1182987</v>
      </c>
      <c r="G42" s="1">
        <v>1182987</v>
      </c>
      <c r="H42" s="1">
        <v>0</v>
      </c>
      <c r="I42" s="3">
        <v>0</v>
      </c>
      <c r="J42" s="3">
        <v>0</v>
      </c>
      <c r="K42" s="3">
        <v>1</v>
      </c>
      <c r="L42" s="3">
        <v>14</v>
      </c>
      <c r="M42" s="3">
        <v>48</v>
      </c>
      <c r="N42" s="3">
        <v>33</v>
      </c>
      <c r="O42" s="3">
        <v>46</v>
      </c>
      <c r="P42" s="3">
        <v>31</v>
      </c>
      <c r="Q42" s="3">
        <v>15</v>
      </c>
      <c r="R42" s="3">
        <v>2</v>
      </c>
      <c r="S42" s="2">
        <f t="shared" si="2"/>
        <v>190</v>
      </c>
      <c r="T42" s="4">
        <f t="shared" si="3"/>
        <v>6226.2473684210527</v>
      </c>
    </row>
    <row r="43" spans="1:20" hidden="1" x14ac:dyDescent="0.3">
      <c r="A43">
        <v>353870905000090</v>
      </c>
      <c r="B43" t="s">
        <v>217</v>
      </c>
      <c r="C43" t="s">
        <v>65</v>
      </c>
      <c r="D43">
        <v>1</v>
      </c>
      <c r="E43">
        <v>0</v>
      </c>
      <c r="F43" s="1">
        <v>598602</v>
      </c>
      <c r="G43" s="1">
        <v>598602</v>
      </c>
      <c r="H43" s="1">
        <v>0</v>
      </c>
      <c r="I43" s="3">
        <v>0</v>
      </c>
      <c r="J43" s="3">
        <v>0</v>
      </c>
      <c r="K43" s="3">
        <v>2</v>
      </c>
      <c r="L43" s="3">
        <v>4</v>
      </c>
      <c r="M43" s="3">
        <v>14</v>
      </c>
      <c r="N43" s="3">
        <v>15</v>
      </c>
      <c r="O43" s="3">
        <v>18</v>
      </c>
      <c r="P43" s="3">
        <v>28</v>
      </c>
      <c r="Q43" s="3">
        <v>13</v>
      </c>
      <c r="R43" s="3">
        <v>3</v>
      </c>
      <c r="S43" s="2">
        <f t="shared" si="2"/>
        <v>97</v>
      </c>
      <c r="T43" s="4">
        <f t="shared" si="3"/>
        <v>6171.1546391752581</v>
      </c>
    </row>
    <row r="44" spans="1:20" hidden="1" x14ac:dyDescent="0.3">
      <c r="A44">
        <v>353870905000569</v>
      </c>
      <c r="B44" t="s">
        <v>217</v>
      </c>
      <c r="C44" t="s">
        <v>25</v>
      </c>
      <c r="D44">
        <v>1</v>
      </c>
      <c r="E44">
        <v>0</v>
      </c>
      <c r="F44" s="1">
        <v>1183185</v>
      </c>
      <c r="G44" s="1">
        <v>1183185</v>
      </c>
      <c r="H44" s="1">
        <v>0</v>
      </c>
      <c r="I44" s="3">
        <v>0</v>
      </c>
      <c r="J44" s="3">
        <v>0</v>
      </c>
      <c r="K44" s="3">
        <v>1</v>
      </c>
      <c r="L44" s="3">
        <v>13</v>
      </c>
      <c r="M44" s="3">
        <v>42</v>
      </c>
      <c r="N44" s="3">
        <v>36</v>
      </c>
      <c r="O44" s="3">
        <v>47</v>
      </c>
      <c r="P44" s="3">
        <v>38</v>
      </c>
      <c r="Q44" s="3">
        <v>10</v>
      </c>
      <c r="R44" s="3">
        <v>5</v>
      </c>
      <c r="S44" s="2">
        <f t="shared" si="2"/>
        <v>192</v>
      </c>
      <c r="T44" s="4">
        <f t="shared" si="3"/>
        <v>6162.421875</v>
      </c>
    </row>
    <row r="45" spans="1:20" hidden="1" x14ac:dyDescent="0.3">
      <c r="A45">
        <v>353870905000189</v>
      </c>
      <c r="B45" t="s">
        <v>217</v>
      </c>
      <c r="C45" t="s">
        <v>25</v>
      </c>
      <c r="D45">
        <v>1</v>
      </c>
      <c r="E45">
        <v>0</v>
      </c>
      <c r="F45" s="1">
        <v>953801</v>
      </c>
      <c r="G45" s="1">
        <v>953801</v>
      </c>
      <c r="H45" s="1">
        <v>0</v>
      </c>
      <c r="I45" s="3">
        <v>0</v>
      </c>
      <c r="J45" s="3">
        <v>1</v>
      </c>
      <c r="K45" s="3">
        <v>4</v>
      </c>
      <c r="L45" s="3">
        <v>11</v>
      </c>
      <c r="M45" s="3">
        <v>37</v>
      </c>
      <c r="N45" s="3">
        <v>36</v>
      </c>
      <c r="O45" s="3">
        <v>32</v>
      </c>
      <c r="P45" s="3">
        <v>29</v>
      </c>
      <c r="Q45" s="3">
        <v>5</v>
      </c>
      <c r="R45" s="3">
        <v>0</v>
      </c>
      <c r="S45" s="2">
        <f t="shared" si="2"/>
        <v>155</v>
      </c>
      <c r="T45" s="4">
        <f t="shared" si="3"/>
        <v>6153.5548387096778</v>
      </c>
    </row>
    <row r="46" spans="1:20" hidden="1" x14ac:dyDescent="0.3">
      <c r="A46">
        <v>353870905000045</v>
      </c>
      <c r="B46" t="s">
        <v>217</v>
      </c>
      <c r="C46" t="s">
        <v>45</v>
      </c>
      <c r="D46">
        <v>1</v>
      </c>
      <c r="E46">
        <v>0</v>
      </c>
      <c r="F46" s="1">
        <v>738119</v>
      </c>
      <c r="G46" s="1">
        <v>738119</v>
      </c>
      <c r="H46" s="1">
        <v>0</v>
      </c>
      <c r="I46" s="3">
        <v>0</v>
      </c>
      <c r="J46" s="3">
        <v>0</v>
      </c>
      <c r="K46" s="3">
        <v>1</v>
      </c>
      <c r="L46" s="3">
        <v>11</v>
      </c>
      <c r="M46" s="3">
        <v>31</v>
      </c>
      <c r="N46" s="3">
        <v>22</v>
      </c>
      <c r="O46" s="3">
        <v>24</v>
      </c>
      <c r="P46" s="3">
        <v>21</v>
      </c>
      <c r="Q46" s="3">
        <v>10</v>
      </c>
      <c r="R46" s="3">
        <v>0</v>
      </c>
      <c r="S46" s="2">
        <f t="shared" si="2"/>
        <v>120</v>
      </c>
      <c r="T46" s="4">
        <f t="shared" si="3"/>
        <v>6150.9916666666668</v>
      </c>
    </row>
    <row r="47" spans="1:20" hidden="1" x14ac:dyDescent="0.3">
      <c r="A47">
        <v>353870905000372</v>
      </c>
      <c r="B47" t="s">
        <v>217</v>
      </c>
      <c r="C47" t="s">
        <v>185</v>
      </c>
      <c r="D47">
        <v>1</v>
      </c>
      <c r="E47">
        <v>0</v>
      </c>
      <c r="F47" s="1">
        <v>1565892</v>
      </c>
      <c r="G47" s="1">
        <v>1565892</v>
      </c>
      <c r="H47" s="1">
        <v>0</v>
      </c>
      <c r="I47" s="3">
        <v>0</v>
      </c>
      <c r="J47" s="3">
        <v>0</v>
      </c>
      <c r="K47" s="3">
        <v>6</v>
      </c>
      <c r="L47" s="3">
        <v>23</v>
      </c>
      <c r="M47" s="3">
        <v>63</v>
      </c>
      <c r="N47" s="3">
        <v>36</v>
      </c>
      <c r="O47" s="3">
        <v>73</v>
      </c>
      <c r="P47" s="3">
        <v>45</v>
      </c>
      <c r="Q47" s="3">
        <v>9</v>
      </c>
      <c r="R47" s="3">
        <v>1</v>
      </c>
      <c r="S47" s="2">
        <f t="shared" si="2"/>
        <v>256</v>
      </c>
      <c r="T47" s="4">
        <f t="shared" si="3"/>
        <v>6116.765625</v>
      </c>
    </row>
    <row r="48" spans="1:20" hidden="1" x14ac:dyDescent="0.3">
      <c r="A48">
        <v>353870905000122</v>
      </c>
      <c r="B48" t="s">
        <v>217</v>
      </c>
      <c r="C48" t="s">
        <v>140</v>
      </c>
      <c r="D48">
        <v>1</v>
      </c>
      <c r="E48">
        <v>0</v>
      </c>
      <c r="F48" s="1">
        <v>774085</v>
      </c>
      <c r="G48" s="1">
        <v>774085</v>
      </c>
      <c r="H48" s="1">
        <v>0</v>
      </c>
      <c r="I48" s="3">
        <v>0</v>
      </c>
      <c r="J48" s="3">
        <v>0</v>
      </c>
      <c r="K48" s="3">
        <v>2</v>
      </c>
      <c r="L48" s="3">
        <v>11</v>
      </c>
      <c r="M48" s="3">
        <v>25</v>
      </c>
      <c r="N48" s="3">
        <v>10</v>
      </c>
      <c r="O48" s="3">
        <v>31</v>
      </c>
      <c r="P48" s="3">
        <v>26</v>
      </c>
      <c r="Q48" s="3">
        <v>20</v>
      </c>
      <c r="R48" s="3">
        <v>2</v>
      </c>
      <c r="S48" s="2">
        <f t="shared" si="2"/>
        <v>127</v>
      </c>
      <c r="T48" s="4">
        <f t="shared" si="3"/>
        <v>6095.1574803149606</v>
      </c>
    </row>
    <row r="49" spans="1:20" hidden="1" x14ac:dyDescent="0.3">
      <c r="A49">
        <v>353870905000143</v>
      </c>
      <c r="B49" t="s">
        <v>217</v>
      </c>
      <c r="C49" t="s">
        <v>31</v>
      </c>
      <c r="D49">
        <v>1</v>
      </c>
      <c r="E49">
        <v>0</v>
      </c>
      <c r="F49" s="1">
        <v>1352042</v>
      </c>
      <c r="G49" s="1">
        <v>1352042</v>
      </c>
      <c r="H49" s="1">
        <v>0</v>
      </c>
      <c r="I49" s="3">
        <v>0</v>
      </c>
      <c r="J49" s="3">
        <v>1</v>
      </c>
      <c r="K49" s="3">
        <v>1</v>
      </c>
      <c r="L49" s="3">
        <v>12</v>
      </c>
      <c r="M49" s="3">
        <v>23</v>
      </c>
      <c r="N49" s="3">
        <v>27</v>
      </c>
      <c r="O49" s="3">
        <v>69</v>
      </c>
      <c r="P49" s="3">
        <v>57</v>
      </c>
      <c r="Q49" s="3">
        <v>22</v>
      </c>
      <c r="R49" s="3">
        <v>11</v>
      </c>
      <c r="S49" s="2">
        <f t="shared" si="2"/>
        <v>223</v>
      </c>
      <c r="T49" s="4">
        <f t="shared" si="3"/>
        <v>6062.9686098654711</v>
      </c>
    </row>
    <row r="50" spans="1:20" hidden="1" x14ac:dyDescent="0.3">
      <c r="A50">
        <v>353870905000002</v>
      </c>
      <c r="B50" t="s">
        <v>217</v>
      </c>
      <c r="C50" t="s">
        <v>28</v>
      </c>
      <c r="D50">
        <v>1</v>
      </c>
      <c r="E50">
        <v>0</v>
      </c>
      <c r="F50" s="1">
        <v>926482</v>
      </c>
      <c r="G50" s="1">
        <v>926482</v>
      </c>
      <c r="H50" s="1">
        <v>0</v>
      </c>
      <c r="I50" s="3">
        <v>0</v>
      </c>
      <c r="J50" s="3">
        <v>0</v>
      </c>
      <c r="K50" s="3">
        <v>2</v>
      </c>
      <c r="L50" s="3">
        <v>6</v>
      </c>
      <c r="M50" s="3">
        <v>26</v>
      </c>
      <c r="N50" s="3">
        <v>26</v>
      </c>
      <c r="O50" s="3">
        <v>32</v>
      </c>
      <c r="P50" s="3">
        <v>45</v>
      </c>
      <c r="Q50" s="3">
        <v>16</v>
      </c>
      <c r="R50" s="3">
        <v>1</v>
      </c>
      <c r="S50" s="2">
        <f t="shared" si="2"/>
        <v>154</v>
      </c>
      <c r="T50" s="4">
        <f t="shared" si="3"/>
        <v>6016.1168831168834</v>
      </c>
    </row>
    <row r="51" spans="1:20" hidden="1" x14ac:dyDescent="0.3">
      <c r="A51">
        <v>353870905000126</v>
      </c>
      <c r="B51" t="s">
        <v>217</v>
      </c>
      <c r="C51" t="s">
        <v>71</v>
      </c>
      <c r="D51">
        <v>1</v>
      </c>
      <c r="E51">
        <v>0</v>
      </c>
      <c r="F51" s="1">
        <v>1581564</v>
      </c>
      <c r="G51" s="1">
        <v>1581564</v>
      </c>
      <c r="H51" s="1">
        <v>0</v>
      </c>
      <c r="I51" s="3">
        <v>0</v>
      </c>
      <c r="J51" s="3">
        <v>0</v>
      </c>
      <c r="K51" s="3">
        <v>5</v>
      </c>
      <c r="L51" s="3">
        <v>13</v>
      </c>
      <c r="M51" s="3">
        <v>52</v>
      </c>
      <c r="N51" s="3">
        <v>49</v>
      </c>
      <c r="O51" s="3">
        <v>73</v>
      </c>
      <c r="P51" s="3">
        <v>45</v>
      </c>
      <c r="Q51" s="3">
        <v>25</v>
      </c>
      <c r="R51" s="3">
        <v>1</v>
      </c>
      <c r="S51" s="2">
        <f t="shared" si="2"/>
        <v>263</v>
      </c>
      <c r="T51" s="4">
        <f t="shared" si="3"/>
        <v>6013.5513307984793</v>
      </c>
    </row>
    <row r="52" spans="1:20" hidden="1" x14ac:dyDescent="0.3">
      <c r="A52">
        <v>353870905000080</v>
      </c>
      <c r="B52" t="s">
        <v>217</v>
      </c>
      <c r="C52" t="s">
        <v>51</v>
      </c>
      <c r="D52">
        <v>1</v>
      </c>
      <c r="E52">
        <v>0</v>
      </c>
      <c r="F52" s="1">
        <v>1185394</v>
      </c>
      <c r="G52" s="1">
        <v>1185394</v>
      </c>
      <c r="H52" s="1">
        <v>0</v>
      </c>
      <c r="I52" s="3">
        <v>1</v>
      </c>
      <c r="J52" s="3">
        <v>0</v>
      </c>
      <c r="K52" s="3">
        <v>5</v>
      </c>
      <c r="L52" s="3">
        <v>16</v>
      </c>
      <c r="M52" s="3">
        <v>44</v>
      </c>
      <c r="N52" s="3">
        <v>28</v>
      </c>
      <c r="O52" s="3">
        <v>40</v>
      </c>
      <c r="P52" s="3">
        <v>44</v>
      </c>
      <c r="Q52" s="3">
        <v>22</v>
      </c>
      <c r="R52" s="3">
        <v>1</v>
      </c>
      <c r="S52" s="2">
        <f t="shared" si="2"/>
        <v>201</v>
      </c>
      <c r="T52" s="4">
        <f t="shared" si="3"/>
        <v>5897.4825870646764</v>
      </c>
    </row>
    <row r="53" spans="1:20" hidden="1" x14ac:dyDescent="0.3">
      <c r="A53">
        <v>353870905000075</v>
      </c>
      <c r="B53" t="s">
        <v>217</v>
      </c>
      <c r="C53" t="s">
        <v>167</v>
      </c>
      <c r="D53">
        <v>1</v>
      </c>
      <c r="E53">
        <v>0</v>
      </c>
      <c r="F53" s="1">
        <v>804482</v>
      </c>
      <c r="G53" s="1">
        <v>804482</v>
      </c>
      <c r="H53" s="1">
        <v>0</v>
      </c>
      <c r="I53" s="3">
        <v>0</v>
      </c>
      <c r="J53" s="3">
        <v>0</v>
      </c>
      <c r="K53" s="3">
        <v>4</v>
      </c>
      <c r="L53" s="3">
        <v>11</v>
      </c>
      <c r="M53" s="3">
        <v>26</v>
      </c>
      <c r="N53" s="3">
        <v>16</v>
      </c>
      <c r="O53" s="3">
        <v>32</v>
      </c>
      <c r="P53" s="3">
        <v>34</v>
      </c>
      <c r="Q53" s="3">
        <v>11</v>
      </c>
      <c r="R53" s="3">
        <v>3</v>
      </c>
      <c r="S53" s="2">
        <f t="shared" si="2"/>
        <v>137</v>
      </c>
      <c r="T53" s="4">
        <f t="shared" si="3"/>
        <v>5872.1313868613142</v>
      </c>
    </row>
    <row r="54" spans="1:20" hidden="1" x14ac:dyDescent="0.3">
      <c r="A54">
        <v>353870905000024</v>
      </c>
      <c r="B54" t="s">
        <v>217</v>
      </c>
      <c r="C54" t="s">
        <v>28</v>
      </c>
      <c r="D54">
        <v>1</v>
      </c>
      <c r="E54">
        <v>0</v>
      </c>
      <c r="F54" s="1">
        <v>858235</v>
      </c>
      <c r="G54" s="1">
        <v>858235</v>
      </c>
      <c r="H54" s="1">
        <v>0</v>
      </c>
      <c r="I54" s="3">
        <v>1</v>
      </c>
      <c r="J54" s="3">
        <v>0</v>
      </c>
      <c r="K54" s="3">
        <v>0</v>
      </c>
      <c r="L54" s="3">
        <v>7</v>
      </c>
      <c r="M54" s="3">
        <v>23</v>
      </c>
      <c r="N54" s="3">
        <v>27</v>
      </c>
      <c r="O54" s="3">
        <v>30</v>
      </c>
      <c r="P54" s="3">
        <v>35</v>
      </c>
      <c r="Q54" s="3">
        <v>23</v>
      </c>
      <c r="R54" s="3">
        <v>1</v>
      </c>
      <c r="S54" s="2">
        <f t="shared" si="2"/>
        <v>147</v>
      </c>
      <c r="T54" s="4">
        <f t="shared" si="3"/>
        <v>5838.333333333333</v>
      </c>
    </row>
    <row r="55" spans="1:20" hidden="1" x14ac:dyDescent="0.3">
      <c r="A55">
        <v>353870905000183</v>
      </c>
      <c r="B55" t="s">
        <v>217</v>
      </c>
      <c r="C55" t="s">
        <v>62</v>
      </c>
      <c r="D55">
        <v>1</v>
      </c>
      <c r="E55">
        <v>0</v>
      </c>
      <c r="F55" s="1">
        <v>1341807</v>
      </c>
      <c r="G55" s="1">
        <v>1341807</v>
      </c>
      <c r="H55" s="1">
        <v>0</v>
      </c>
      <c r="I55" s="3">
        <v>0</v>
      </c>
      <c r="J55" s="3">
        <v>0</v>
      </c>
      <c r="K55" s="3">
        <v>3</v>
      </c>
      <c r="L55" s="3">
        <v>22</v>
      </c>
      <c r="M55" s="3">
        <v>52</v>
      </c>
      <c r="N55" s="3">
        <v>39</v>
      </c>
      <c r="O55" s="3">
        <v>60</v>
      </c>
      <c r="P55" s="3">
        <v>43</v>
      </c>
      <c r="Q55" s="3">
        <v>12</v>
      </c>
      <c r="R55" s="3">
        <v>0</v>
      </c>
      <c r="S55" s="2">
        <f t="shared" si="2"/>
        <v>231</v>
      </c>
      <c r="T55" s="4">
        <f t="shared" si="3"/>
        <v>5808.6883116883118</v>
      </c>
    </row>
    <row r="56" spans="1:20" hidden="1" x14ac:dyDescent="0.3">
      <c r="A56">
        <v>353870905000570</v>
      </c>
      <c r="B56" t="s">
        <v>217</v>
      </c>
      <c r="C56" t="s">
        <v>25</v>
      </c>
      <c r="D56">
        <v>1</v>
      </c>
      <c r="E56">
        <v>0</v>
      </c>
      <c r="F56" s="1">
        <v>1223740</v>
      </c>
      <c r="G56" s="1">
        <v>1223740</v>
      </c>
      <c r="H56" s="1">
        <v>0</v>
      </c>
      <c r="I56" s="3">
        <v>0</v>
      </c>
      <c r="J56" s="3">
        <v>0</v>
      </c>
      <c r="K56" s="3">
        <v>4</v>
      </c>
      <c r="L56" s="3">
        <v>19</v>
      </c>
      <c r="M56" s="3">
        <v>59</v>
      </c>
      <c r="N56" s="3">
        <v>46</v>
      </c>
      <c r="O56" s="3">
        <v>42</v>
      </c>
      <c r="P56" s="3">
        <v>31</v>
      </c>
      <c r="Q56" s="3">
        <v>12</v>
      </c>
      <c r="R56" s="3">
        <v>1</v>
      </c>
      <c r="S56" s="2">
        <f t="shared" si="2"/>
        <v>214</v>
      </c>
      <c r="T56" s="4">
        <f t="shared" si="3"/>
        <v>5718.4112149532712</v>
      </c>
    </row>
    <row r="57" spans="1:20" hidden="1" x14ac:dyDescent="0.3">
      <c r="A57">
        <v>353870905000006</v>
      </c>
      <c r="B57" t="s">
        <v>217</v>
      </c>
      <c r="C57" t="s">
        <v>28</v>
      </c>
      <c r="D57">
        <v>1</v>
      </c>
      <c r="E57">
        <v>0</v>
      </c>
      <c r="F57" s="1">
        <v>800209</v>
      </c>
      <c r="G57" s="1">
        <v>800209</v>
      </c>
      <c r="H57" s="1">
        <v>0</v>
      </c>
      <c r="I57" s="3">
        <v>1</v>
      </c>
      <c r="J57" s="3">
        <v>0</v>
      </c>
      <c r="K57" s="3">
        <v>1</v>
      </c>
      <c r="L57" s="3">
        <v>9</v>
      </c>
      <c r="M57" s="3">
        <v>29</v>
      </c>
      <c r="N57" s="3">
        <v>14</v>
      </c>
      <c r="O57" s="3">
        <v>25</v>
      </c>
      <c r="P57" s="3">
        <v>28</v>
      </c>
      <c r="Q57" s="3">
        <v>21</v>
      </c>
      <c r="R57" s="3">
        <v>12</v>
      </c>
      <c r="S57" s="2">
        <f t="shared" si="2"/>
        <v>140</v>
      </c>
      <c r="T57" s="4">
        <f t="shared" si="3"/>
        <v>5715.778571428571</v>
      </c>
    </row>
    <row r="58" spans="1:20" x14ac:dyDescent="0.3">
      <c r="A58">
        <v>353870905000371</v>
      </c>
      <c r="B58" t="s">
        <v>217</v>
      </c>
      <c r="C58" t="s">
        <v>43</v>
      </c>
      <c r="D58">
        <v>1</v>
      </c>
      <c r="E58">
        <v>0</v>
      </c>
      <c r="F58" s="1">
        <v>1100066</v>
      </c>
      <c r="G58" s="1">
        <v>1100066</v>
      </c>
      <c r="H58" s="1">
        <v>0</v>
      </c>
      <c r="I58" s="3">
        <v>0</v>
      </c>
      <c r="J58" s="3">
        <v>0</v>
      </c>
      <c r="K58" s="3">
        <v>5</v>
      </c>
      <c r="L58" s="3">
        <v>14</v>
      </c>
      <c r="M58" s="3">
        <v>49</v>
      </c>
      <c r="N58" s="3">
        <v>38</v>
      </c>
      <c r="O58" s="3">
        <v>36</v>
      </c>
      <c r="P58" s="3">
        <v>37</v>
      </c>
      <c r="Q58" s="3">
        <v>12</v>
      </c>
      <c r="R58" s="3">
        <v>2</v>
      </c>
      <c r="S58" s="2">
        <f t="shared" si="2"/>
        <v>193</v>
      </c>
      <c r="T58" s="4">
        <f t="shared" si="3"/>
        <v>5699.8238341968909</v>
      </c>
    </row>
    <row r="59" spans="1:20" hidden="1" x14ac:dyDescent="0.3">
      <c r="A59">
        <v>353870905000074</v>
      </c>
      <c r="B59" t="s">
        <v>217</v>
      </c>
      <c r="C59" t="s">
        <v>167</v>
      </c>
      <c r="D59">
        <v>1</v>
      </c>
      <c r="E59">
        <v>0</v>
      </c>
      <c r="F59" s="1">
        <v>817697</v>
      </c>
      <c r="G59" s="1">
        <v>817697</v>
      </c>
      <c r="H59" s="1">
        <v>0</v>
      </c>
      <c r="I59" s="3">
        <v>0</v>
      </c>
      <c r="J59" s="3">
        <v>1</v>
      </c>
      <c r="K59" s="3">
        <v>4</v>
      </c>
      <c r="L59" s="3">
        <v>16</v>
      </c>
      <c r="M59" s="3">
        <v>35</v>
      </c>
      <c r="N59" s="3">
        <v>25</v>
      </c>
      <c r="O59" s="3">
        <v>28</v>
      </c>
      <c r="P59" s="3">
        <v>20</v>
      </c>
      <c r="Q59" s="3">
        <v>15</v>
      </c>
      <c r="R59" s="3">
        <v>0</v>
      </c>
      <c r="S59" s="2">
        <f t="shared" si="2"/>
        <v>144</v>
      </c>
      <c r="T59" s="4">
        <f t="shared" si="3"/>
        <v>5678.4513888888887</v>
      </c>
    </row>
    <row r="60" spans="1:20" hidden="1" x14ac:dyDescent="0.3">
      <c r="A60">
        <v>353870905000040</v>
      </c>
      <c r="B60" t="s">
        <v>217</v>
      </c>
      <c r="C60" t="s">
        <v>45</v>
      </c>
      <c r="D60">
        <v>1</v>
      </c>
      <c r="E60">
        <v>0</v>
      </c>
      <c r="F60" s="1">
        <v>837198</v>
      </c>
      <c r="G60" s="1">
        <v>837198</v>
      </c>
      <c r="H60" s="1">
        <v>0</v>
      </c>
      <c r="I60" s="3">
        <v>0</v>
      </c>
      <c r="J60" s="3">
        <v>0</v>
      </c>
      <c r="K60" s="3">
        <v>0</v>
      </c>
      <c r="L60" s="3">
        <v>8</v>
      </c>
      <c r="M60" s="3">
        <v>37</v>
      </c>
      <c r="N60" s="3">
        <v>28</v>
      </c>
      <c r="O60" s="3">
        <v>22</v>
      </c>
      <c r="P60" s="3">
        <v>32</v>
      </c>
      <c r="Q60" s="3">
        <v>18</v>
      </c>
      <c r="R60" s="3">
        <v>3</v>
      </c>
      <c r="S60" s="2">
        <f t="shared" si="2"/>
        <v>148</v>
      </c>
      <c r="T60" s="4">
        <f t="shared" si="3"/>
        <v>5656.7432432432433</v>
      </c>
    </row>
    <row r="61" spans="1:20" hidden="1" x14ac:dyDescent="0.3">
      <c r="A61">
        <v>353870905000128</v>
      </c>
      <c r="B61" t="s">
        <v>217</v>
      </c>
      <c r="C61" t="s">
        <v>71</v>
      </c>
      <c r="D61">
        <v>1</v>
      </c>
      <c r="E61">
        <v>0</v>
      </c>
      <c r="F61" s="1">
        <v>1051313</v>
      </c>
      <c r="G61" s="1">
        <v>1051313</v>
      </c>
      <c r="H61" s="1">
        <v>0</v>
      </c>
      <c r="I61" s="3">
        <v>0</v>
      </c>
      <c r="J61" s="3">
        <v>0</v>
      </c>
      <c r="K61" s="3">
        <v>2</v>
      </c>
      <c r="L61" s="3">
        <v>27</v>
      </c>
      <c r="M61" s="3">
        <v>44</v>
      </c>
      <c r="N61" s="3">
        <v>29</v>
      </c>
      <c r="O61" s="3">
        <v>34</v>
      </c>
      <c r="P61" s="3">
        <v>29</v>
      </c>
      <c r="Q61" s="3">
        <v>16</v>
      </c>
      <c r="R61" s="3">
        <v>5</v>
      </c>
      <c r="S61" s="2">
        <f t="shared" si="2"/>
        <v>186</v>
      </c>
      <c r="T61" s="4">
        <f t="shared" si="3"/>
        <v>5652.2204301075271</v>
      </c>
    </row>
    <row r="62" spans="1:20" hidden="1" x14ac:dyDescent="0.3">
      <c r="A62">
        <v>353870905000013</v>
      </c>
      <c r="B62" t="s">
        <v>217</v>
      </c>
      <c r="C62" t="s">
        <v>28</v>
      </c>
      <c r="D62">
        <v>1</v>
      </c>
      <c r="E62">
        <v>0</v>
      </c>
      <c r="F62" s="1">
        <v>219153</v>
      </c>
      <c r="G62" s="1">
        <v>219153</v>
      </c>
      <c r="H62" s="1">
        <v>0</v>
      </c>
      <c r="I62" s="3">
        <v>0</v>
      </c>
      <c r="J62" s="3">
        <v>0</v>
      </c>
      <c r="K62" s="3">
        <v>1</v>
      </c>
      <c r="L62" s="3">
        <v>3</v>
      </c>
      <c r="M62" s="3">
        <v>8</v>
      </c>
      <c r="N62" s="3">
        <v>4</v>
      </c>
      <c r="O62" s="3">
        <v>12</v>
      </c>
      <c r="P62" s="3">
        <v>7</v>
      </c>
      <c r="Q62" s="3">
        <v>4</v>
      </c>
      <c r="R62" s="3">
        <v>0</v>
      </c>
      <c r="S62" s="2">
        <f t="shared" si="2"/>
        <v>39</v>
      </c>
      <c r="T62" s="4">
        <f t="shared" si="3"/>
        <v>5619.3076923076924</v>
      </c>
    </row>
    <row r="63" spans="1:20" hidden="1" x14ac:dyDescent="0.3">
      <c r="A63">
        <v>353870905000142</v>
      </c>
      <c r="B63" t="s">
        <v>217</v>
      </c>
      <c r="C63" t="s">
        <v>31</v>
      </c>
      <c r="D63">
        <v>1</v>
      </c>
      <c r="E63">
        <v>0</v>
      </c>
      <c r="F63" s="1">
        <v>1038451</v>
      </c>
      <c r="G63" s="1">
        <v>1038451</v>
      </c>
      <c r="H63" s="1">
        <v>0</v>
      </c>
      <c r="I63" s="3">
        <v>1</v>
      </c>
      <c r="J63" s="3">
        <v>2</v>
      </c>
      <c r="K63" s="3">
        <v>3</v>
      </c>
      <c r="L63" s="3">
        <v>22</v>
      </c>
      <c r="M63" s="3">
        <v>34</v>
      </c>
      <c r="N63" s="3">
        <v>27</v>
      </c>
      <c r="O63" s="3">
        <v>32</v>
      </c>
      <c r="P63" s="3">
        <v>44</v>
      </c>
      <c r="Q63" s="3">
        <v>20</v>
      </c>
      <c r="R63" s="3">
        <v>1</v>
      </c>
      <c r="S63" s="2">
        <f t="shared" si="2"/>
        <v>186</v>
      </c>
      <c r="T63" s="4">
        <f t="shared" si="3"/>
        <v>5583.0698924731187</v>
      </c>
    </row>
    <row r="64" spans="1:20" hidden="1" x14ac:dyDescent="0.3">
      <c r="A64">
        <v>353870905000512</v>
      </c>
      <c r="B64" t="s">
        <v>217</v>
      </c>
      <c r="C64" t="s">
        <v>132</v>
      </c>
      <c r="D64">
        <v>2</v>
      </c>
      <c r="E64">
        <v>0</v>
      </c>
      <c r="F64" s="1">
        <v>50170</v>
      </c>
      <c r="G64" s="1">
        <v>50170</v>
      </c>
      <c r="H64" s="1">
        <v>0</v>
      </c>
      <c r="I64" s="3">
        <v>0</v>
      </c>
      <c r="J64" s="3">
        <v>0</v>
      </c>
      <c r="K64" s="3">
        <v>0</v>
      </c>
      <c r="L64" s="3">
        <v>5</v>
      </c>
      <c r="M64" s="3">
        <v>3</v>
      </c>
      <c r="N64" s="3">
        <v>0</v>
      </c>
      <c r="O64" s="3">
        <v>0</v>
      </c>
      <c r="P64" s="3">
        <v>0</v>
      </c>
      <c r="Q64" s="3">
        <v>1</v>
      </c>
      <c r="R64" s="3">
        <v>0</v>
      </c>
      <c r="S64" s="2">
        <f t="shared" si="2"/>
        <v>9</v>
      </c>
      <c r="T64" s="4">
        <f t="shared" si="3"/>
        <v>5574.4444444444443</v>
      </c>
    </row>
    <row r="65" spans="1:20" hidden="1" x14ac:dyDescent="0.3">
      <c r="A65">
        <v>353870905000515</v>
      </c>
      <c r="B65" t="s">
        <v>217</v>
      </c>
      <c r="C65" t="s">
        <v>16</v>
      </c>
      <c r="D65">
        <v>2</v>
      </c>
      <c r="E65">
        <v>0</v>
      </c>
      <c r="F65" s="1">
        <v>708474</v>
      </c>
      <c r="G65" s="1">
        <v>708474</v>
      </c>
      <c r="H65" s="1">
        <v>0</v>
      </c>
      <c r="I65" s="3">
        <v>0</v>
      </c>
      <c r="J65" s="3">
        <v>0</v>
      </c>
      <c r="K65" s="3">
        <v>10</v>
      </c>
      <c r="L65" s="3">
        <v>29</v>
      </c>
      <c r="M65" s="3">
        <v>54</v>
      </c>
      <c r="N65" s="3">
        <v>16</v>
      </c>
      <c r="O65" s="3">
        <v>8</v>
      </c>
      <c r="P65" s="3">
        <v>8</v>
      </c>
      <c r="Q65" s="3">
        <v>4</v>
      </c>
      <c r="R65" s="3">
        <v>0</v>
      </c>
      <c r="S65" s="2">
        <f t="shared" si="2"/>
        <v>129</v>
      </c>
      <c r="T65" s="4">
        <f t="shared" si="3"/>
        <v>5492.0465116279074</v>
      </c>
    </row>
    <row r="66" spans="1:20" hidden="1" x14ac:dyDescent="0.3">
      <c r="A66">
        <v>353870905000085</v>
      </c>
      <c r="B66" t="s">
        <v>217</v>
      </c>
      <c r="C66" t="s">
        <v>51</v>
      </c>
      <c r="D66">
        <v>1</v>
      </c>
      <c r="E66">
        <v>0</v>
      </c>
      <c r="F66" s="1">
        <v>1329023</v>
      </c>
      <c r="G66" s="1">
        <v>1329023</v>
      </c>
      <c r="H66" s="1">
        <v>0</v>
      </c>
      <c r="I66" s="3">
        <v>0</v>
      </c>
      <c r="J66" s="3">
        <v>0</v>
      </c>
      <c r="K66" s="3">
        <v>6</v>
      </c>
      <c r="L66" s="3">
        <v>14</v>
      </c>
      <c r="M66" s="3">
        <v>36</v>
      </c>
      <c r="N66" s="3">
        <v>46</v>
      </c>
      <c r="O66" s="3">
        <v>47</v>
      </c>
      <c r="P66" s="3">
        <v>60</v>
      </c>
      <c r="Q66" s="3">
        <v>25</v>
      </c>
      <c r="R66" s="3">
        <v>8</v>
      </c>
      <c r="S66" s="2">
        <f t="shared" si="2"/>
        <v>242</v>
      </c>
      <c r="T66" s="4">
        <f t="shared" si="3"/>
        <v>5491.8305785123966</v>
      </c>
    </row>
    <row r="67" spans="1:20" hidden="1" x14ac:dyDescent="0.3">
      <c r="A67">
        <v>353870905000079</v>
      </c>
      <c r="B67" t="s">
        <v>217</v>
      </c>
      <c r="C67" t="s">
        <v>167</v>
      </c>
      <c r="D67">
        <v>1</v>
      </c>
      <c r="E67">
        <v>0</v>
      </c>
      <c r="F67" s="1">
        <v>991982</v>
      </c>
      <c r="G67" s="1">
        <v>991982</v>
      </c>
      <c r="H67" s="1">
        <v>0</v>
      </c>
      <c r="I67" s="3">
        <v>1</v>
      </c>
      <c r="J67" s="3">
        <v>2</v>
      </c>
      <c r="K67" s="3">
        <v>3</v>
      </c>
      <c r="L67" s="3">
        <v>25</v>
      </c>
      <c r="M67" s="3">
        <v>34</v>
      </c>
      <c r="N67" s="3">
        <v>23</v>
      </c>
      <c r="O67" s="3">
        <v>43</v>
      </c>
      <c r="P67" s="3">
        <v>31</v>
      </c>
      <c r="Q67" s="3">
        <v>20</v>
      </c>
      <c r="R67" s="3">
        <v>0</v>
      </c>
      <c r="S67" s="2">
        <f t="shared" ref="S67:S130" si="4">SUM(I67:R67)</f>
        <v>182</v>
      </c>
      <c r="T67" s="4">
        <f t="shared" ref="T67:T130" si="5">F67/S67</f>
        <v>5450.4505494505493</v>
      </c>
    </row>
    <row r="68" spans="1:20" hidden="1" x14ac:dyDescent="0.3">
      <c r="A68">
        <v>353870905000007</v>
      </c>
      <c r="B68" t="s">
        <v>217</v>
      </c>
      <c r="C68" t="s">
        <v>28</v>
      </c>
      <c r="D68">
        <v>1</v>
      </c>
      <c r="E68">
        <v>0</v>
      </c>
      <c r="F68" s="1">
        <v>304720</v>
      </c>
      <c r="G68" s="1">
        <v>304720</v>
      </c>
      <c r="H68" s="1">
        <v>0</v>
      </c>
      <c r="I68" s="3">
        <v>0</v>
      </c>
      <c r="J68" s="3">
        <v>0</v>
      </c>
      <c r="K68" s="3">
        <v>1</v>
      </c>
      <c r="L68" s="3">
        <v>2</v>
      </c>
      <c r="M68" s="3">
        <v>12</v>
      </c>
      <c r="N68" s="3">
        <v>9</v>
      </c>
      <c r="O68" s="3">
        <v>7</v>
      </c>
      <c r="P68" s="3">
        <v>15</v>
      </c>
      <c r="Q68" s="3">
        <v>4</v>
      </c>
      <c r="R68" s="3">
        <v>6</v>
      </c>
      <c r="S68" s="2">
        <f t="shared" si="4"/>
        <v>56</v>
      </c>
      <c r="T68" s="4">
        <f t="shared" si="5"/>
        <v>5441.4285714285716</v>
      </c>
    </row>
    <row r="69" spans="1:20" hidden="1" x14ac:dyDescent="0.3">
      <c r="A69">
        <v>353870905000567</v>
      </c>
      <c r="B69" t="s">
        <v>217</v>
      </c>
      <c r="C69" t="s">
        <v>31</v>
      </c>
      <c r="D69">
        <v>1</v>
      </c>
      <c r="E69">
        <v>0</v>
      </c>
      <c r="F69" s="1">
        <v>467010</v>
      </c>
      <c r="G69" s="1">
        <v>467010</v>
      </c>
      <c r="H69" s="1">
        <v>0</v>
      </c>
      <c r="I69" s="3">
        <v>0</v>
      </c>
      <c r="J69" s="3">
        <v>1</v>
      </c>
      <c r="K69" s="3">
        <v>0</v>
      </c>
      <c r="L69" s="3">
        <v>0</v>
      </c>
      <c r="M69" s="3">
        <v>15</v>
      </c>
      <c r="N69" s="3">
        <v>17</v>
      </c>
      <c r="O69" s="3">
        <v>23</v>
      </c>
      <c r="P69" s="3">
        <v>23</v>
      </c>
      <c r="Q69" s="3">
        <v>5</v>
      </c>
      <c r="R69" s="3">
        <v>2</v>
      </c>
      <c r="S69" s="2">
        <f t="shared" si="4"/>
        <v>86</v>
      </c>
      <c r="T69" s="4">
        <f t="shared" si="5"/>
        <v>5430.3488372093025</v>
      </c>
    </row>
    <row r="70" spans="1:20" hidden="1" x14ac:dyDescent="0.3">
      <c r="A70">
        <v>353870905000035</v>
      </c>
      <c r="B70" t="s">
        <v>217</v>
      </c>
      <c r="C70" t="s">
        <v>28</v>
      </c>
      <c r="D70">
        <v>1</v>
      </c>
      <c r="E70">
        <v>0</v>
      </c>
      <c r="F70" s="1">
        <v>780752</v>
      </c>
      <c r="G70" s="1">
        <v>780752</v>
      </c>
      <c r="H70" s="1">
        <v>0</v>
      </c>
      <c r="I70" s="3">
        <v>0</v>
      </c>
      <c r="J70" s="3">
        <v>0</v>
      </c>
      <c r="K70" s="3">
        <v>2</v>
      </c>
      <c r="L70" s="3">
        <v>10</v>
      </c>
      <c r="M70" s="3">
        <v>39</v>
      </c>
      <c r="N70" s="3">
        <v>20</v>
      </c>
      <c r="O70" s="3">
        <v>30</v>
      </c>
      <c r="P70" s="3">
        <v>30</v>
      </c>
      <c r="Q70" s="3">
        <v>12</v>
      </c>
      <c r="R70" s="3">
        <v>1</v>
      </c>
      <c r="S70" s="2">
        <f t="shared" si="4"/>
        <v>144</v>
      </c>
      <c r="T70" s="4">
        <f t="shared" si="5"/>
        <v>5421.8888888888887</v>
      </c>
    </row>
    <row r="71" spans="1:20" hidden="1" x14ac:dyDescent="0.3">
      <c r="A71">
        <v>353870905000227</v>
      </c>
      <c r="B71" t="s">
        <v>217</v>
      </c>
      <c r="C71" t="s">
        <v>48</v>
      </c>
      <c r="D71">
        <v>1</v>
      </c>
      <c r="E71">
        <v>0</v>
      </c>
      <c r="F71" s="1">
        <v>1396613</v>
      </c>
      <c r="G71" s="1">
        <v>1396613</v>
      </c>
      <c r="H71" s="1">
        <v>0</v>
      </c>
      <c r="I71" s="3">
        <v>0</v>
      </c>
      <c r="J71" s="3">
        <v>0</v>
      </c>
      <c r="K71" s="3">
        <v>1</v>
      </c>
      <c r="L71" s="3">
        <v>20</v>
      </c>
      <c r="M71" s="3">
        <v>52</v>
      </c>
      <c r="N71" s="3">
        <v>59</v>
      </c>
      <c r="O71" s="3">
        <v>69</v>
      </c>
      <c r="P71" s="3">
        <v>42</v>
      </c>
      <c r="Q71" s="3">
        <v>15</v>
      </c>
      <c r="R71" s="3">
        <v>0</v>
      </c>
      <c r="S71" s="2">
        <f t="shared" si="4"/>
        <v>258</v>
      </c>
      <c r="T71" s="4">
        <f t="shared" si="5"/>
        <v>5413.2286821705429</v>
      </c>
    </row>
    <row r="72" spans="1:20" hidden="1" x14ac:dyDescent="0.3">
      <c r="A72">
        <v>353870905000009</v>
      </c>
      <c r="B72" t="s">
        <v>217</v>
      </c>
      <c r="C72" t="s">
        <v>28</v>
      </c>
      <c r="D72">
        <v>1</v>
      </c>
      <c r="E72">
        <v>0</v>
      </c>
      <c r="F72" s="1">
        <v>745540</v>
      </c>
      <c r="G72" s="1">
        <v>745540</v>
      </c>
      <c r="H72" s="1">
        <v>0</v>
      </c>
      <c r="I72" s="3">
        <v>0</v>
      </c>
      <c r="J72" s="3">
        <v>1</v>
      </c>
      <c r="K72" s="3">
        <v>1</v>
      </c>
      <c r="L72" s="3">
        <v>4</v>
      </c>
      <c r="M72" s="3">
        <v>13</v>
      </c>
      <c r="N72" s="3">
        <v>17</v>
      </c>
      <c r="O72" s="3">
        <v>21</v>
      </c>
      <c r="P72" s="3">
        <v>34</v>
      </c>
      <c r="Q72" s="3">
        <v>15</v>
      </c>
      <c r="R72" s="3">
        <v>34</v>
      </c>
      <c r="S72" s="2">
        <f t="shared" si="4"/>
        <v>140</v>
      </c>
      <c r="T72" s="4">
        <f t="shared" si="5"/>
        <v>5325.2857142857147</v>
      </c>
    </row>
    <row r="73" spans="1:20" hidden="1" x14ac:dyDescent="0.3">
      <c r="A73">
        <v>353870905000401</v>
      </c>
      <c r="B73" t="s">
        <v>217</v>
      </c>
      <c r="C73" t="s">
        <v>125</v>
      </c>
      <c r="D73">
        <v>1</v>
      </c>
      <c r="E73">
        <v>0</v>
      </c>
      <c r="F73" s="1">
        <v>836123</v>
      </c>
      <c r="G73" s="1">
        <v>836123</v>
      </c>
      <c r="H73" s="1">
        <v>0</v>
      </c>
      <c r="I73" s="3">
        <v>0</v>
      </c>
      <c r="J73" s="3">
        <v>1</v>
      </c>
      <c r="K73" s="3">
        <v>4</v>
      </c>
      <c r="L73" s="3">
        <v>22</v>
      </c>
      <c r="M73" s="3">
        <v>52</v>
      </c>
      <c r="N73" s="3">
        <v>25</v>
      </c>
      <c r="O73" s="3">
        <v>22</v>
      </c>
      <c r="P73" s="3">
        <v>23</v>
      </c>
      <c r="Q73" s="3">
        <v>8</v>
      </c>
      <c r="R73" s="3">
        <v>1</v>
      </c>
      <c r="S73" s="2">
        <f t="shared" si="4"/>
        <v>158</v>
      </c>
      <c r="T73" s="4">
        <f t="shared" si="5"/>
        <v>5291.9177215189875</v>
      </c>
    </row>
    <row r="74" spans="1:20" hidden="1" x14ac:dyDescent="0.3">
      <c r="A74">
        <v>353870905000188</v>
      </c>
      <c r="B74" t="s">
        <v>217</v>
      </c>
      <c r="C74" t="s">
        <v>25</v>
      </c>
      <c r="D74">
        <v>1</v>
      </c>
      <c r="E74">
        <v>0</v>
      </c>
      <c r="F74" s="1">
        <v>623574</v>
      </c>
      <c r="G74" s="1">
        <v>623574</v>
      </c>
      <c r="H74" s="1">
        <v>0</v>
      </c>
      <c r="I74" s="3">
        <v>0</v>
      </c>
      <c r="J74" s="3">
        <v>0</v>
      </c>
      <c r="K74" s="3">
        <v>2</v>
      </c>
      <c r="L74" s="3">
        <v>14</v>
      </c>
      <c r="M74" s="3">
        <v>24</v>
      </c>
      <c r="N74" s="3">
        <v>20</v>
      </c>
      <c r="O74" s="3">
        <v>25</v>
      </c>
      <c r="P74" s="3">
        <v>19</v>
      </c>
      <c r="Q74" s="3">
        <v>3</v>
      </c>
      <c r="R74" s="3">
        <v>12</v>
      </c>
      <c r="S74" s="2">
        <f t="shared" si="4"/>
        <v>119</v>
      </c>
      <c r="T74" s="4">
        <f t="shared" si="5"/>
        <v>5240.1176470588234</v>
      </c>
    </row>
    <row r="75" spans="1:20" hidden="1" x14ac:dyDescent="0.3">
      <c r="A75">
        <v>353870905000065</v>
      </c>
      <c r="B75" t="s">
        <v>217</v>
      </c>
      <c r="C75" t="s">
        <v>34</v>
      </c>
      <c r="D75">
        <v>1</v>
      </c>
      <c r="E75">
        <v>0</v>
      </c>
      <c r="F75" s="1">
        <v>912607</v>
      </c>
      <c r="G75" s="1">
        <v>912607</v>
      </c>
      <c r="H75" s="1">
        <v>0</v>
      </c>
      <c r="I75" s="3">
        <v>0</v>
      </c>
      <c r="J75" s="3">
        <v>1</v>
      </c>
      <c r="K75" s="3">
        <v>2</v>
      </c>
      <c r="L75" s="3">
        <v>24</v>
      </c>
      <c r="M75" s="3">
        <v>51</v>
      </c>
      <c r="N75" s="3">
        <v>40</v>
      </c>
      <c r="O75" s="3">
        <v>18</v>
      </c>
      <c r="P75" s="3">
        <v>24</v>
      </c>
      <c r="Q75" s="3">
        <v>13</v>
      </c>
      <c r="R75" s="3">
        <v>2</v>
      </c>
      <c r="S75" s="2">
        <f t="shared" si="4"/>
        <v>175</v>
      </c>
      <c r="T75" s="4">
        <f t="shared" si="5"/>
        <v>5214.8971428571431</v>
      </c>
    </row>
    <row r="76" spans="1:20" hidden="1" x14ac:dyDescent="0.3">
      <c r="A76">
        <v>353870905000046</v>
      </c>
      <c r="B76" t="s">
        <v>217</v>
      </c>
      <c r="C76" t="s">
        <v>45</v>
      </c>
      <c r="D76">
        <v>1</v>
      </c>
      <c r="E76">
        <v>0</v>
      </c>
      <c r="F76" s="1">
        <v>726309</v>
      </c>
      <c r="G76" s="1">
        <v>726309</v>
      </c>
      <c r="H76" s="1">
        <v>0</v>
      </c>
      <c r="I76" s="3">
        <v>0</v>
      </c>
      <c r="J76" s="3">
        <v>1</v>
      </c>
      <c r="K76" s="3">
        <v>2</v>
      </c>
      <c r="L76" s="3">
        <v>13</v>
      </c>
      <c r="M76" s="3">
        <v>35</v>
      </c>
      <c r="N76" s="3">
        <v>20</v>
      </c>
      <c r="O76" s="3">
        <v>29</v>
      </c>
      <c r="P76" s="3">
        <v>29</v>
      </c>
      <c r="Q76" s="3">
        <v>9</v>
      </c>
      <c r="R76" s="3">
        <v>3</v>
      </c>
      <c r="S76" s="2">
        <f t="shared" si="4"/>
        <v>141</v>
      </c>
      <c r="T76" s="4">
        <f t="shared" si="5"/>
        <v>5151.1276595744685</v>
      </c>
    </row>
    <row r="77" spans="1:20" hidden="1" x14ac:dyDescent="0.3">
      <c r="A77">
        <v>353870905000053</v>
      </c>
      <c r="B77" t="s">
        <v>217</v>
      </c>
      <c r="C77" t="s">
        <v>28</v>
      </c>
      <c r="D77">
        <v>1</v>
      </c>
      <c r="E77">
        <v>0</v>
      </c>
      <c r="F77" s="1">
        <v>724541</v>
      </c>
      <c r="G77" s="1">
        <v>724541</v>
      </c>
      <c r="H77" s="1">
        <v>0</v>
      </c>
      <c r="I77" s="3">
        <v>0</v>
      </c>
      <c r="J77" s="3">
        <v>0</v>
      </c>
      <c r="K77" s="3">
        <v>5</v>
      </c>
      <c r="L77" s="3">
        <v>6</v>
      </c>
      <c r="M77" s="3">
        <v>19</v>
      </c>
      <c r="N77" s="3">
        <v>25</v>
      </c>
      <c r="O77" s="3">
        <v>37</v>
      </c>
      <c r="P77" s="3">
        <v>32</v>
      </c>
      <c r="Q77" s="3">
        <v>11</v>
      </c>
      <c r="R77" s="3">
        <v>6</v>
      </c>
      <c r="S77" s="2">
        <f t="shared" si="4"/>
        <v>141</v>
      </c>
      <c r="T77" s="4">
        <f t="shared" si="5"/>
        <v>5138.5886524822699</v>
      </c>
    </row>
    <row r="78" spans="1:20" hidden="1" x14ac:dyDescent="0.3">
      <c r="A78">
        <v>353870905000127</v>
      </c>
      <c r="B78" t="s">
        <v>217</v>
      </c>
      <c r="C78" t="s">
        <v>71</v>
      </c>
      <c r="D78">
        <v>1</v>
      </c>
      <c r="E78">
        <v>0</v>
      </c>
      <c r="F78" s="1">
        <v>878611</v>
      </c>
      <c r="G78" s="1">
        <v>878611</v>
      </c>
      <c r="H78" s="1">
        <v>0</v>
      </c>
      <c r="I78" s="3">
        <v>0</v>
      </c>
      <c r="J78" s="3">
        <v>0</v>
      </c>
      <c r="K78" s="3">
        <v>2</v>
      </c>
      <c r="L78" s="3">
        <v>18</v>
      </c>
      <c r="M78" s="3">
        <v>38</v>
      </c>
      <c r="N78" s="3">
        <v>40</v>
      </c>
      <c r="O78" s="3">
        <v>43</v>
      </c>
      <c r="P78" s="3">
        <v>23</v>
      </c>
      <c r="Q78" s="3">
        <v>5</v>
      </c>
      <c r="R78" s="3">
        <v>3</v>
      </c>
      <c r="S78" s="2">
        <f t="shared" si="4"/>
        <v>172</v>
      </c>
      <c r="T78" s="4">
        <f t="shared" si="5"/>
        <v>5108.2034883720926</v>
      </c>
    </row>
    <row r="79" spans="1:20" hidden="1" x14ac:dyDescent="0.3">
      <c r="A79">
        <v>353870905000473</v>
      </c>
      <c r="B79" t="s">
        <v>217</v>
      </c>
      <c r="C79" t="s">
        <v>82</v>
      </c>
      <c r="D79">
        <v>1</v>
      </c>
      <c r="E79">
        <v>0</v>
      </c>
      <c r="F79" s="1">
        <v>359668</v>
      </c>
      <c r="G79" s="1">
        <v>359668</v>
      </c>
      <c r="H79" s="1">
        <v>0</v>
      </c>
      <c r="I79" s="3">
        <v>0</v>
      </c>
      <c r="J79" s="3">
        <v>0</v>
      </c>
      <c r="K79" s="3">
        <v>0</v>
      </c>
      <c r="L79" s="3">
        <v>1</v>
      </c>
      <c r="M79" s="3">
        <v>25</v>
      </c>
      <c r="N79" s="3">
        <v>18</v>
      </c>
      <c r="O79" s="3">
        <v>14</v>
      </c>
      <c r="P79" s="3">
        <v>9</v>
      </c>
      <c r="Q79" s="3">
        <v>3</v>
      </c>
      <c r="R79" s="3">
        <v>1</v>
      </c>
      <c r="S79" s="2">
        <f t="shared" si="4"/>
        <v>71</v>
      </c>
      <c r="T79" s="4">
        <f t="shared" si="5"/>
        <v>5065.7464788732395</v>
      </c>
    </row>
    <row r="80" spans="1:20" hidden="1" x14ac:dyDescent="0.3">
      <c r="A80">
        <v>353870905000004</v>
      </c>
      <c r="B80" t="s">
        <v>217</v>
      </c>
      <c r="C80" t="s">
        <v>28</v>
      </c>
      <c r="D80">
        <v>1</v>
      </c>
      <c r="E80">
        <v>0</v>
      </c>
      <c r="F80" s="1">
        <v>636079</v>
      </c>
      <c r="G80" s="1">
        <v>636079</v>
      </c>
      <c r="H80" s="1">
        <v>0</v>
      </c>
      <c r="I80" s="3">
        <v>0</v>
      </c>
      <c r="J80" s="3">
        <v>0</v>
      </c>
      <c r="K80" s="3">
        <v>1</v>
      </c>
      <c r="L80" s="3">
        <v>7</v>
      </c>
      <c r="M80" s="3">
        <v>16</v>
      </c>
      <c r="N80" s="3">
        <v>27</v>
      </c>
      <c r="O80" s="3">
        <v>34</v>
      </c>
      <c r="P80" s="3">
        <v>27</v>
      </c>
      <c r="Q80" s="3">
        <v>12</v>
      </c>
      <c r="R80" s="3">
        <v>2</v>
      </c>
      <c r="S80" s="2">
        <f t="shared" si="4"/>
        <v>126</v>
      </c>
      <c r="T80" s="4">
        <f t="shared" si="5"/>
        <v>5048.2460317460318</v>
      </c>
    </row>
    <row r="81" spans="1:20" hidden="1" x14ac:dyDescent="0.3">
      <c r="A81">
        <v>353870905000034</v>
      </c>
      <c r="B81" t="s">
        <v>217</v>
      </c>
      <c r="C81" t="s">
        <v>28</v>
      </c>
      <c r="D81">
        <v>1</v>
      </c>
      <c r="E81">
        <v>0</v>
      </c>
      <c r="F81" s="1">
        <v>594533</v>
      </c>
      <c r="G81" s="1">
        <v>594533</v>
      </c>
      <c r="H81" s="1">
        <v>0</v>
      </c>
      <c r="I81" s="3">
        <v>0</v>
      </c>
      <c r="J81" s="3">
        <v>0</v>
      </c>
      <c r="K81" s="3">
        <v>0</v>
      </c>
      <c r="L81" s="3">
        <v>13</v>
      </c>
      <c r="M81" s="3">
        <v>24</v>
      </c>
      <c r="N81" s="3">
        <v>17</v>
      </c>
      <c r="O81" s="3">
        <v>31</v>
      </c>
      <c r="P81" s="3">
        <v>23</v>
      </c>
      <c r="Q81" s="3">
        <v>8</v>
      </c>
      <c r="R81" s="3">
        <v>2</v>
      </c>
      <c r="S81" s="2">
        <f t="shared" si="4"/>
        <v>118</v>
      </c>
      <c r="T81" s="4">
        <f t="shared" si="5"/>
        <v>5038.4152542372885</v>
      </c>
    </row>
    <row r="82" spans="1:20" hidden="1" x14ac:dyDescent="0.3">
      <c r="A82">
        <v>353870905000463</v>
      </c>
      <c r="B82" t="s">
        <v>217</v>
      </c>
      <c r="C82" t="s">
        <v>71</v>
      </c>
      <c r="D82">
        <v>1</v>
      </c>
      <c r="E82">
        <v>0</v>
      </c>
      <c r="F82" s="1">
        <v>175192</v>
      </c>
      <c r="G82" s="1">
        <v>175192</v>
      </c>
      <c r="H82" s="1">
        <v>0</v>
      </c>
      <c r="I82" s="3">
        <v>0</v>
      </c>
      <c r="J82" s="3">
        <v>0</v>
      </c>
      <c r="K82" s="3">
        <v>0</v>
      </c>
      <c r="L82" s="3">
        <v>7</v>
      </c>
      <c r="M82" s="3">
        <v>9</v>
      </c>
      <c r="N82" s="3">
        <v>2</v>
      </c>
      <c r="O82" s="3">
        <v>8</v>
      </c>
      <c r="P82" s="3">
        <v>6</v>
      </c>
      <c r="Q82" s="3">
        <v>2</v>
      </c>
      <c r="R82" s="3">
        <v>1</v>
      </c>
      <c r="S82" s="2">
        <f t="shared" si="4"/>
        <v>35</v>
      </c>
      <c r="T82" s="4">
        <f t="shared" si="5"/>
        <v>5005.4857142857145</v>
      </c>
    </row>
    <row r="83" spans="1:20" hidden="1" x14ac:dyDescent="0.3">
      <c r="A83">
        <v>353870905000067</v>
      </c>
      <c r="B83" t="s">
        <v>217</v>
      </c>
      <c r="C83" t="s">
        <v>34</v>
      </c>
      <c r="D83">
        <v>1</v>
      </c>
      <c r="E83">
        <v>0</v>
      </c>
      <c r="F83" s="1">
        <v>1137637</v>
      </c>
      <c r="G83" s="1">
        <v>1137637</v>
      </c>
      <c r="H83" s="1">
        <v>0</v>
      </c>
      <c r="I83" s="3">
        <v>0</v>
      </c>
      <c r="J83" s="3">
        <v>0</v>
      </c>
      <c r="K83" s="3">
        <v>6</v>
      </c>
      <c r="L83" s="3">
        <v>26</v>
      </c>
      <c r="M83" s="3">
        <v>54</v>
      </c>
      <c r="N83" s="3">
        <v>47</v>
      </c>
      <c r="O83" s="3">
        <v>38</v>
      </c>
      <c r="P83" s="3">
        <v>36</v>
      </c>
      <c r="Q83" s="3">
        <v>19</v>
      </c>
      <c r="R83" s="3">
        <v>2</v>
      </c>
      <c r="S83" s="2">
        <f t="shared" si="4"/>
        <v>228</v>
      </c>
      <c r="T83" s="4">
        <f t="shared" si="5"/>
        <v>4989.6359649122805</v>
      </c>
    </row>
    <row r="84" spans="1:20" hidden="1" x14ac:dyDescent="0.3">
      <c r="A84">
        <v>353870905000132</v>
      </c>
      <c r="B84" t="s">
        <v>217</v>
      </c>
      <c r="C84" t="s">
        <v>71</v>
      </c>
      <c r="D84">
        <v>1</v>
      </c>
      <c r="E84">
        <v>0</v>
      </c>
      <c r="F84" s="1">
        <v>1030277</v>
      </c>
      <c r="G84" s="1">
        <v>1030277</v>
      </c>
      <c r="H84" s="1">
        <v>0</v>
      </c>
      <c r="I84" s="3">
        <v>1</v>
      </c>
      <c r="J84" s="3">
        <v>1</v>
      </c>
      <c r="K84" s="3">
        <v>4</v>
      </c>
      <c r="L84" s="3">
        <v>13</v>
      </c>
      <c r="M84" s="3">
        <v>50</v>
      </c>
      <c r="N84" s="3">
        <v>39</v>
      </c>
      <c r="O84" s="3">
        <v>42</v>
      </c>
      <c r="P84" s="3">
        <v>37</v>
      </c>
      <c r="Q84" s="3">
        <v>15</v>
      </c>
      <c r="R84" s="3">
        <v>5</v>
      </c>
      <c r="S84" s="2">
        <f t="shared" si="4"/>
        <v>207</v>
      </c>
      <c r="T84" s="4">
        <f t="shared" si="5"/>
        <v>4977.1835748792273</v>
      </c>
    </row>
    <row r="85" spans="1:20" hidden="1" x14ac:dyDescent="0.3">
      <c r="A85">
        <v>353870905000016</v>
      </c>
      <c r="B85" t="s">
        <v>217</v>
      </c>
      <c r="C85" t="s">
        <v>45</v>
      </c>
      <c r="D85">
        <v>1</v>
      </c>
      <c r="E85">
        <v>0</v>
      </c>
      <c r="F85" s="1">
        <v>536923</v>
      </c>
      <c r="G85" s="1">
        <v>536923</v>
      </c>
      <c r="H85" s="1">
        <v>0</v>
      </c>
      <c r="I85" s="3">
        <v>0</v>
      </c>
      <c r="J85" s="3">
        <v>1</v>
      </c>
      <c r="K85" s="3">
        <v>3</v>
      </c>
      <c r="L85" s="3">
        <v>12</v>
      </c>
      <c r="M85" s="3">
        <v>27</v>
      </c>
      <c r="N85" s="3">
        <v>27</v>
      </c>
      <c r="O85" s="3">
        <v>25</v>
      </c>
      <c r="P85" s="3">
        <v>8</v>
      </c>
      <c r="Q85" s="3">
        <v>3</v>
      </c>
      <c r="R85" s="3">
        <v>2</v>
      </c>
      <c r="S85" s="2">
        <f t="shared" si="4"/>
        <v>108</v>
      </c>
      <c r="T85" s="4">
        <f t="shared" si="5"/>
        <v>4971.5092592592591</v>
      </c>
    </row>
    <row r="86" spans="1:20" hidden="1" x14ac:dyDescent="0.3">
      <c r="A86">
        <v>353870905000150</v>
      </c>
      <c r="B86" t="s">
        <v>217</v>
      </c>
      <c r="C86" t="s">
        <v>31</v>
      </c>
      <c r="D86">
        <v>1</v>
      </c>
      <c r="E86">
        <v>0</v>
      </c>
      <c r="F86" s="1">
        <v>913912</v>
      </c>
      <c r="G86" s="1">
        <v>913912</v>
      </c>
      <c r="H86" s="1">
        <v>0</v>
      </c>
      <c r="I86" s="3">
        <v>0</v>
      </c>
      <c r="J86" s="3">
        <v>0</v>
      </c>
      <c r="K86" s="3">
        <v>3</v>
      </c>
      <c r="L86" s="3">
        <v>10</v>
      </c>
      <c r="M86" s="3">
        <v>38</v>
      </c>
      <c r="N86" s="3">
        <v>46</v>
      </c>
      <c r="O86" s="3">
        <v>45</v>
      </c>
      <c r="P86" s="3">
        <v>34</v>
      </c>
      <c r="Q86" s="3">
        <v>3</v>
      </c>
      <c r="R86" s="3">
        <v>6</v>
      </c>
      <c r="S86" s="2">
        <f t="shared" si="4"/>
        <v>185</v>
      </c>
      <c r="T86" s="4">
        <f t="shared" si="5"/>
        <v>4940.0648648648648</v>
      </c>
    </row>
    <row r="87" spans="1:20" hidden="1" x14ac:dyDescent="0.3">
      <c r="A87">
        <v>353870905000010</v>
      </c>
      <c r="B87" t="s">
        <v>217</v>
      </c>
      <c r="C87" t="s">
        <v>28</v>
      </c>
      <c r="D87">
        <v>1</v>
      </c>
      <c r="E87">
        <v>0</v>
      </c>
      <c r="F87" s="1">
        <v>483438</v>
      </c>
      <c r="G87" s="1">
        <v>483438</v>
      </c>
      <c r="H87" s="1">
        <v>0</v>
      </c>
      <c r="I87" s="3">
        <v>0</v>
      </c>
      <c r="J87" s="3">
        <v>0</v>
      </c>
      <c r="K87" s="3">
        <v>1</v>
      </c>
      <c r="L87" s="3">
        <v>11</v>
      </c>
      <c r="M87" s="3">
        <v>28</v>
      </c>
      <c r="N87" s="3">
        <v>13</v>
      </c>
      <c r="O87" s="3">
        <v>10</v>
      </c>
      <c r="P87" s="3">
        <v>10</v>
      </c>
      <c r="Q87" s="3">
        <v>10</v>
      </c>
      <c r="R87" s="3">
        <v>15</v>
      </c>
      <c r="S87" s="2">
        <f t="shared" si="4"/>
        <v>98</v>
      </c>
      <c r="T87" s="4">
        <f t="shared" si="5"/>
        <v>4933.0408163265311</v>
      </c>
    </row>
    <row r="88" spans="1:20" hidden="1" x14ac:dyDescent="0.3">
      <c r="A88">
        <v>353870905000139</v>
      </c>
      <c r="B88" t="s">
        <v>217</v>
      </c>
      <c r="C88" t="s">
        <v>54</v>
      </c>
      <c r="D88">
        <v>1</v>
      </c>
      <c r="E88">
        <v>0</v>
      </c>
      <c r="F88" s="1">
        <v>905919</v>
      </c>
      <c r="G88" s="1">
        <v>905919</v>
      </c>
      <c r="H88" s="1">
        <v>0</v>
      </c>
      <c r="I88" s="3">
        <v>0</v>
      </c>
      <c r="J88" s="3">
        <v>0</v>
      </c>
      <c r="K88" s="3">
        <v>2</v>
      </c>
      <c r="L88" s="3">
        <v>12</v>
      </c>
      <c r="M88" s="3">
        <v>51</v>
      </c>
      <c r="N88" s="3">
        <v>28</v>
      </c>
      <c r="O88" s="3">
        <v>46</v>
      </c>
      <c r="P88" s="3">
        <v>32</v>
      </c>
      <c r="Q88" s="3">
        <v>11</v>
      </c>
      <c r="R88" s="3">
        <v>2</v>
      </c>
      <c r="S88" s="2">
        <f t="shared" si="4"/>
        <v>184</v>
      </c>
      <c r="T88" s="4">
        <f t="shared" si="5"/>
        <v>4923.472826086957</v>
      </c>
    </row>
    <row r="89" spans="1:20" hidden="1" x14ac:dyDescent="0.3">
      <c r="A89">
        <v>353870905000068</v>
      </c>
      <c r="B89" t="s">
        <v>217</v>
      </c>
      <c r="C89" t="s">
        <v>34</v>
      </c>
      <c r="D89">
        <v>1</v>
      </c>
      <c r="E89">
        <v>0</v>
      </c>
      <c r="F89" s="1">
        <v>691160</v>
      </c>
      <c r="G89" s="1">
        <v>691160</v>
      </c>
      <c r="H89" s="1">
        <v>0</v>
      </c>
      <c r="I89" s="3">
        <v>0</v>
      </c>
      <c r="J89" s="3">
        <v>0</v>
      </c>
      <c r="K89" s="3">
        <v>3</v>
      </c>
      <c r="L89" s="3">
        <v>10</v>
      </c>
      <c r="M89" s="3">
        <v>28</v>
      </c>
      <c r="N89" s="3">
        <v>23</v>
      </c>
      <c r="O89" s="3">
        <v>31</v>
      </c>
      <c r="P89" s="3">
        <v>39</v>
      </c>
      <c r="Q89" s="3">
        <v>6</v>
      </c>
      <c r="R89" s="3">
        <v>1</v>
      </c>
      <c r="S89" s="2">
        <f t="shared" si="4"/>
        <v>141</v>
      </c>
      <c r="T89" s="4">
        <f t="shared" si="5"/>
        <v>4901.8439716312059</v>
      </c>
    </row>
    <row r="90" spans="1:20" hidden="1" x14ac:dyDescent="0.3">
      <c r="A90">
        <v>353870905000166</v>
      </c>
      <c r="B90" t="s">
        <v>217</v>
      </c>
      <c r="C90" t="s">
        <v>135</v>
      </c>
      <c r="D90">
        <v>1</v>
      </c>
      <c r="E90">
        <v>0</v>
      </c>
      <c r="F90" s="1">
        <v>994321</v>
      </c>
      <c r="G90" s="1">
        <v>994321</v>
      </c>
      <c r="H90" s="1">
        <v>0</v>
      </c>
      <c r="I90" s="3">
        <v>0</v>
      </c>
      <c r="J90" s="3">
        <v>0</v>
      </c>
      <c r="K90" s="3">
        <v>2</v>
      </c>
      <c r="L90" s="3">
        <v>23</v>
      </c>
      <c r="M90" s="3">
        <v>53</v>
      </c>
      <c r="N90" s="3">
        <v>32</v>
      </c>
      <c r="O90" s="3">
        <v>39</v>
      </c>
      <c r="P90" s="3">
        <v>45</v>
      </c>
      <c r="Q90" s="3">
        <v>9</v>
      </c>
      <c r="R90" s="3">
        <v>1</v>
      </c>
      <c r="S90" s="2">
        <f t="shared" si="4"/>
        <v>204</v>
      </c>
      <c r="T90" s="4">
        <f t="shared" si="5"/>
        <v>4874.1225490196075</v>
      </c>
    </row>
    <row r="91" spans="1:20" hidden="1" x14ac:dyDescent="0.3">
      <c r="A91">
        <v>353870905000020</v>
      </c>
      <c r="B91" t="s">
        <v>217</v>
      </c>
      <c r="C91" t="s">
        <v>45</v>
      </c>
      <c r="D91">
        <v>1</v>
      </c>
      <c r="E91">
        <v>0</v>
      </c>
      <c r="F91" s="1">
        <v>773497</v>
      </c>
      <c r="G91" s="1">
        <v>773497</v>
      </c>
      <c r="H91" s="1">
        <v>0</v>
      </c>
      <c r="I91" s="3">
        <v>1</v>
      </c>
      <c r="J91" s="3">
        <v>0</v>
      </c>
      <c r="K91" s="3">
        <v>0</v>
      </c>
      <c r="L91" s="3">
        <v>10</v>
      </c>
      <c r="M91" s="3">
        <v>30</v>
      </c>
      <c r="N91" s="3">
        <v>31</v>
      </c>
      <c r="O91" s="3">
        <v>34</v>
      </c>
      <c r="P91" s="3">
        <v>41</v>
      </c>
      <c r="Q91" s="3">
        <v>11</v>
      </c>
      <c r="R91" s="3">
        <v>2</v>
      </c>
      <c r="S91" s="2">
        <f t="shared" si="4"/>
        <v>160</v>
      </c>
      <c r="T91" s="4">
        <f t="shared" si="5"/>
        <v>4834.3562499999998</v>
      </c>
    </row>
    <row r="92" spans="1:20" hidden="1" x14ac:dyDescent="0.3">
      <c r="A92">
        <v>353870905000029</v>
      </c>
      <c r="B92" t="s">
        <v>217</v>
      </c>
      <c r="C92" t="s">
        <v>28</v>
      </c>
      <c r="D92">
        <v>1</v>
      </c>
      <c r="E92">
        <v>0</v>
      </c>
      <c r="F92" s="1">
        <v>746463</v>
      </c>
      <c r="G92" s="1">
        <v>746463</v>
      </c>
      <c r="H92" s="1">
        <v>0</v>
      </c>
      <c r="I92" s="3">
        <v>0</v>
      </c>
      <c r="J92" s="3">
        <v>0</v>
      </c>
      <c r="K92" s="3">
        <v>1</v>
      </c>
      <c r="L92" s="3">
        <v>6</v>
      </c>
      <c r="M92" s="3">
        <v>28</v>
      </c>
      <c r="N92" s="3">
        <v>19</v>
      </c>
      <c r="O92" s="3">
        <v>55</v>
      </c>
      <c r="P92" s="3">
        <v>32</v>
      </c>
      <c r="Q92" s="3">
        <v>13</v>
      </c>
      <c r="R92" s="3">
        <v>1</v>
      </c>
      <c r="S92" s="2">
        <f t="shared" si="4"/>
        <v>155</v>
      </c>
      <c r="T92" s="4">
        <f t="shared" si="5"/>
        <v>4815.8903225806453</v>
      </c>
    </row>
    <row r="93" spans="1:20" hidden="1" x14ac:dyDescent="0.3">
      <c r="A93">
        <v>353870905000444</v>
      </c>
      <c r="B93" t="s">
        <v>217</v>
      </c>
      <c r="C93" t="s">
        <v>28</v>
      </c>
      <c r="D93">
        <v>1</v>
      </c>
      <c r="E93">
        <v>0</v>
      </c>
      <c r="F93" s="1">
        <v>588855</v>
      </c>
      <c r="G93" s="1">
        <v>588855</v>
      </c>
      <c r="H93" s="1">
        <v>0</v>
      </c>
      <c r="I93" s="3">
        <v>0</v>
      </c>
      <c r="J93" s="3">
        <v>1</v>
      </c>
      <c r="K93" s="3">
        <v>0</v>
      </c>
      <c r="L93" s="3">
        <v>6</v>
      </c>
      <c r="M93" s="3">
        <v>21</v>
      </c>
      <c r="N93" s="3">
        <v>23</v>
      </c>
      <c r="O93" s="3">
        <v>33</v>
      </c>
      <c r="P93" s="3">
        <v>20</v>
      </c>
      <c r="Q93" s="3">
        <v>16</v>
      </c>
      <c r="R93" s="3">
        <v>3</v>
      </c>
      <c r="S93" s="2">
        <f t="shared" si="4"/>
        <v>123</v>
      </c>
      <c r="T93" s="4">
        <f t="shared" si="5"/>
        <v>4787.4390243902435</v>
      </c>
    </row>
    <row r="94" spans="1:20" hidden="1" x14ac:dyDescent="0.3">
      <c r="A94">
        <v>353870905000077</v>
      </c>
      <c r="B94" t="s">
        <v>217</v>
      </c>
      <c r="C94" t="s">
        <v>167</v>
      </c>
      <c r="D94">
        <v>1</v>
      </c>
      <c r="E94">
        <v>0</v>
      </c>
      <c r="F94" s="1">
        <v>663138</v>
      </c>
      <c r="G94" s="1">
        <v>663138</v>
      </c>
      <c r="H94" s="1">
        <v>0</v>
      </c>
      <c r="I94" s="3">
        <v>0</v>
      </c>
      <c r="J94" s="3">
        <v>0</v>
      </c>
      <c r="K94" s="3">
        <v>1</v>
      </c>
      <c r="L94" s="3">
        <v>12</v>
      </c>
      <c r="M94" s="3">
        <v>35</v>
      </c>
      <c r="N94" s="3">
        <v>23</v>
      </c>
      <c r="O94" s="3">
        <v>25</v>
      </c>
      <c r="P94" s="3">
        <v>34</v>
      </c>
      <c r="Q94" s="3">
        <v>9</v>
      </c>
      <c r="R94" s="3">
        <v>0</v>
      </c>
      <c r="S94" s="2">
        <f t="shared" si="4"/>
        <v>139</v>
      </c>
      <c r="T94" s="4">
        <f t="shared" si="5"/>
        <v>4770.776978417266</v>
      </c>
    </row>
    <row r="95" spans="1:20" hidden="1" x14ac:dyDescent="0.3">
      <c r="A95">
        <v>353870905000375</v>
      </c>
      <c r="B95" t="s">
        <v>217</v>
      </c>
      <c r="C95" t="s">
        <v>185</v>
      </c>
      <c r="D95">
        <v>1</v>
      </c>
      <c r="E95">
        <v>0</v>
      </c>
      <c r="F95" s="1">
        <v>566971</v>
      </c>
      <c r="G95" s="1">
        <v>566971</v>
      </c>
      <c r="H95" s="1">
        <v>0</v>
      </c>
      <c r="I95" s="3">
        <v>0</v>
      </c>
      <c r="J95" s="3">
        <v>0</v>
      </c>
      <c r="K95" s="3">
        <v>6</v>
      </c>
      <c r="L95" s="3">
        <v>18</v>
      </c>
      <c r="M95" s="3">
        <v>42</v>
      </c>
      <c r="N95" s="3">
        <v>20</v>
      </c>
      <c r="O95" s="3">
        <v>15</v>
      </c>
      <c r="P95" s="3">
        <v>13</v>
      </c>
      <c r="Q95" s="3">
        <v>5</v>
      </c>
      <c r="R95" s="3">
        <v>1</v>
      </c>
      <c r="S95" s="2">
        <f t="shared" si="4"/>
        <v>120</v>
      </c>
      <c r="T95" s="4">
        <f t="shared" si="5"/>
        <v>4724.7583333333332</v>
      </c>
    </row>
    <row r="96" spans="1:20" hidden="1" x14ac:dyDescent="0.3">
      <c r="A96">
        <v>353870905000098</v>
      </c>
      <c r="B96" t="s">
        <v>217</v>
      </c>
      <c r="C96" t="s">
        <v>25</v>
      </c>
      <c r="D96">
        <v>1</v>
      </c>
      <c r="E96">
        <v>0</v>
      </c>
      <c r="F96" s="1">
        <v>842697</v>
      </c>
      <c r="G96" s="1">
        <v>842697</v>
      </c>
      <c r="H96" s="1">
        <v>0</v>
      </c>
      <c r="I96" s="3">
        <v>0</v>
      </c>
      <c r="J96" s="3">
        <v>0</v>
      </c>
      <c r="K96" s="3">
        <v>6</v>
      </c>
      <c r="L96" s="3">
        <v>11</v>
      </c>
      <c r="M96" s="3">
        <v>51</v>
      </c>
      <c r="N96" s="3">
        <v>35</v>
      </c>
      <c r="O96" s="3">
        <v>41</v>
      </c>
      <c r="P96" s="3">
        <v>24</v>
      </c>
      <c r="Q96" s="3">
        <v>4</v>
      </c>
      <c r="R96" s="3">
        <v>9</v>
      </c>
      <c r="S96" s="2">
        <f t="shared" si="4"/>
        <v>181</v>
      </c>
      <c r="T96" s="4">
        <f t="shared" si="5"/>
        <v>4655.7845303867407</v>
      </c>
    </row>
    <row r="97" spans="1:20" hidden="1" x14ac:dyDescent="0.3">
      <c r="A97">
        <v>353870905000014</v>
      </c>
      <c r="B97" t="s">
        <v>217</v>
      </c>
      <c r="C97" t="s">
        <v>45</v>
      </c>
      <c r="D97">
        <v>1</v>
      </c>
      <c r="E97">
        <v>0</v>
      </c>
      <c r="F97" s="1">
        <v>650193</v>
      </c>
      <c r="G97" s="1">
        <v>650193</v>
      </c>
      <c r="H97" s="1">
        <v>0</v>
      </c>
      <c r="I97" s="3">
        <v>0</v>
      </c>
      <c r="J97" s="3">
        <v>0</v>
      </c>
      <c r="K97" s="3">
        <v>3</v>
      </c>
      <c r="L97" s="3">
        <v>17</v>
      </c>
      <c r="M97" s="3">
        <v>40</v>
      </c>
      <c r="N97" s="3">
        <v>11</v>
      </c>
      <c r="O97" s="3">
        <v>28</v>
      </c>
      <c r="P97" s="3">
        <v>30</v>
      </c>
      <c r="Q97" s="3">
        <v>9</v>
      </c>
      <c r="R97" s="3">
        <v>2</v>
      </c>
      <c r="S97" s="2">
        <f t="shared" si="4"/>
        <v>140</v>
      </c>
      <c r="T97" s="4">
        <f t="shared" si="5"/>
        <v>4644.2357142857145</v>
      </c>
    </row>
    <row r="98" spans="1:20" hidden="1" x14ac:dyDescent="0.3">
      <c r="A98">
        <v>353870905000018</v>
      </c>
      <c r="B98" t="s">
        <v>217</v>
      </c>
      <c r="C98" t="s">
        <v>45</v>
      </c>
      <c r="D98">
        <v>1</v>
      </c>
      <c r="E98">
        <v>0</v>
      </c>
      <c r="F98" s="1">
        <v>849717</v>
      </c>
      <c r="G98" s="1">
        <v>849717</v>
      </c>
      <c r="H98" s="1">
        <v>0</v>
      </c>
      <c r="I98" s="3">
        <v>0</v>
      </c>
      <c r="J98" s="3">
        <v>1</v>
      </c>
      <c r="K98" s="3">
        <v>5</v>
      </c>
      <c r="L98" s="3">
        <v>20</v>
      </c>
      <c r="M98" s="3">
        <v>52</v>
      </c>
      <c r="N98" s="3">
        <v>38</v>
      </c>
      <c r="O98" s="3">
        <v>32</v>
      </c>
      <c r="P98" s="3">
        <v>21</v>
      </c>
      <c r="Q98" s="3">
        <v>9</v>
      </c>
      <c r="R98" s="3">
        <v>8</v>
      </c>
      <c r="S98" s="2">
        <f t="shared" si="4"/>
        <v>186</v>
      </c>
      <c r="T98" s="4">
        <f t="shared" si="5"/>
        <v>4568.3709677419356</v>
      </c>
    </row>
    <row r="99" spans="1:20" hidden="1" x14ac:dyDescent="0.3">
      <c r="A99">
        <v>353870905000008</v>
      </c>
      <c r="B99" t="s">
        <v>217</v>
      </c>
      <c r="C99" t="s">
        <v>28</v>
      </c>
      <c r="D99">
        <v>1</v>
      </c>
      <c r="E99">
        <v>0</v>
      </c>
      <c r="F99" s="1">
        <v>444443</v>
      </c>
      <c r="G99" s="1">
        <v>444443</v>
      </c>
      <c r="H99" s="1">
        <v>0</v>
      </c>
      <c r="I99" s="3">
        <v>0</v>
      </c>
      <c r="J99" s="3">
        <v>1</v>
      </c>
      <c r="K99" s="3">
        <v>2</v>
      </c>
      <c r="L99" s="3">
        <v>5</v>
      </c>
      <c r="M99" s="3">
        <v>26</v>
      </c>
      <c r="N99" s="3">
        <v>19</v>
      </c>
      <c r="O99" s="3">
        <v>18</v>
      </c>
      <c r="P99" s="3">
        <v>18</v>
      </c>
      <c r="Q99" s="3">
        <v>8</v>
      </c>
      <c r="R99" s="3">
        <v>1</v>
      </c>
      <c r="S99" s="2">
        <f t="shared" si="4"/>
        <v>98</v>
      </c>
      <c r="T99" s="4">
        <f t="shared" si="5"/>
        <v>4535.1326530612241</v>
      </c>
    </row>
    <row r="100" spans="1:20" hidden="1" x14ac:dyDescent="0.3">
      <c r="A100">
        <v>353870905000087</v>
      </c>
      <c r="B100" t="s">
        <v>217</v>
      </c>
      <c r="C100" t="s">
        <v>51</v>
      </c>
      <c r="D100">
        <v>1</v>
      </c>
      <c r="E100">
        <v>0</v>
      </c>
      <c r="F100" s="1">
        <v>796362</v>
      </c>
      <c r="G100" s="1">
        <v>796362</v>
      </c>
      <c r="H100" s="1">
        <v>0</v>
      </c>
      <c r="I100" s="3">
        <v>0</v>
      </c>
      <c r="J100" s="3">
        <v>1</v>
      </c>
      <c r="K100" s="3">
        <v>10</v>
      </c>
      <c r="L100" s="3">
        <v>26</v>
      </c>
      <c r="M100" s="3">
        <v>49</v>
      </c>
      <c r="N100" s="3">
        <v>36</v>
      </c>
      <c r="O100" s="3">
        <v>24</v>
      </c>
      <c r="P100" s="3">
        <v>22</v>
      </c>
      <c r="Q100" s="3">
        <v>7</v>
      </c>
      <c r="R100" s="3">
        <v>2</v>
      </c>
      <c r="S100" s="2">
        <f t="shared" si="4"/>
        <v>177</v>
      </c>
      <c r="T100" s="4">
        <f t="shared" si="5"/>
        <v>4499.2203389830511</v>
      </c>
    </row>
    <row r="101" spans="1:20" hidden="1" x14ac:dyDescent="0.3">
      <c r="A101">
        <v>353870905000146</v>
      </c>
      <c r="B101" t="s">
        <v>217</v>
      </c>
      <c r="C101" t="s">
        <v>31</v>
      </c>
      <c r="D101">
        <v>1</v>
      </c>
      <c r="E101">
        <v>0</v>
      </c>
      <c r="F101" s="1">
        <v>1307822</v>
      </c>
      <c r="G101" s="1">
        <v>1307822</v>
      </c>
      <c r="H101" s="1">
        <v>0</v>
      </c>
      <c r="I101" s="3">
        <v>0</v>
      </c>
      <c r="J101" s="3">
        <v>1</v>
      </c>
      <c r="K101" s="3">
        <v>6</v>
      </c>
      <c r="L101" s="3">
        <v>36</v>
      </c>
      <c r="M101" s="3">
        <v>76</v>
      </c>
      <c r="N101" s="3">
        <v>46</v>
      </c>
      <c r="O101" s="3">
        <v>71</v>
      </c>
      <c r="P101" s="3">
        <v>42</v>
      </c>
      <c r="Q101" s="3">
        <v>11</v>
      </c>
      <c r="R101" s="3">
        <v>3</v>
      </c>
      <c r="S101" s="2">
        <f t="shared" si="4"/>
        <v>292</v>
      </c>
      <c r="T101" s="4">
        <f t="shared" si="5"/>
        <v>4478.8424657534242</v>
      </c>
    </row>
    <row r="102" spans="1:20" hidden="1" x14ac:dyDescent="0.3">
      <c r="A102">
        <v>353870905000405</v>
      </c>
      <c r="B102" t="s">
        <v>217</v>
      </c>
      <c r="C102" t="s">
        <v>125</v>
      </c>
      <c r="D102">
        <v>2</v>
      </c>
      <c r="E102">
        <v>0</v>
      </c>
      <c r="F102" s="1">
        <v>821698</v>
      </c>
      <c r="G102" s="1">
        <v>821698</v>
      </c>
      <c r="H102" s="1">
        <v>0</v>
      </c>
      <c r="I102" s="3">
        <v>0</v>
      </c>
      <c r="J102" s="3">
        <v>4</v>
      </c>
      <c r="K102" s="3">
        <v>31</v>
      </c>
      <c r="L102" s="3">
        <v>35</v>
      </c>
      <c r="M102" s="3">
        <v>40</v>
      </c>
      <c r="N102" s="3">
        <v>21</v>
      </c>
      <c r="O102" s="3">
        <v>20</v>
      </c>
      <c r="P102" s="3">
        <v>20</v>
      </c>
      <c r="Q102" s="3">
        <v>8</v>
      </c>
      <c r="R102" s="3">
        <v>5</v>
      </c>
      <c r="S102" s="2">
        <f t="shared" si="4"/>
        <v>184</v>
      </c>
      <c r="T102" s="4">
        <f t="shared" si="5"/>
        <v>4465.75</v>
      </c>
    </row>
    <row r="103" spans="1:20" hidden="1" x14ac:dyDescent="0.3">
      <c r="A103">
        <v>353870905000148</v>
      </c>
      <c r="B103" t="s">
        <v>217</v>
      </c>
      <c r="C103" t="s">
        <v>31</v>
      </c>
      <c r="D103">
        <v>1</v>
      </c>
      <c r="E103">
        <v>0</v>
      </c>
      <c r="F103" s="1">
        <v>1998999</v>
      </c>
      <c r="G103" s="1">
        <v>1998999</v>
      </c>
      <c r="H103" s="1">
        <v>0</v>
      </c>
      <c r="I103" s="3">
        <v>1</v>
      </c>
      <c r="J103" s="3">
        <v>1</v>
      </c>
      <c r="K103" s="3">
        <v>6</v>
      </c>
      <c r="L103" s="3">
        <v>29</v>
      </c>
      <c r="M103" s="3">
        <v>65</v>
      </c>
      <c r="N103" s="3">
        <v>76</v>
      </c>
      <c r="O103" s="3">
        <v>105</v>
      </c>
      <c r="P103" s="3">
        <v>94</v>
      </c>
      <c r="Q103" s="3">
        <v>27</v>
      </c>
      <c r="R103" s="3">
        <v>44</v>
      </c>
      <c r="S103" s="2">
        <f t="shared" si="4"/>
        <v>448</v>
      </c>
      <c r="T103" s="4">
        <f t="shared" si="5"/>
        <v>4462.0513392857147</v>
      </c>
    </row>
    <row r="104" spans="1:20" hidden="1" x14ac:dyDescent="0.3">
      <c r="A104">
        <v>353870905000026</v>
      </c>
      <c r="B104" t="s">
        <v>217</v>
      </c>
      <c r="C104" t="s">
        <v>28</v>
      </c>
      <c r="D104">
        <v>1</v>
      </c>
      <c r="E104">
        <v>1</v>
      </c>
      <c r="F104" s="1">
        <v>754821</v>
      </c>
      <c r="G104" s="1">
        <v>754311</v>
      </c>
      <c r="H104" s="1">
        <v>510</v>
      </c>
      <c r="I104" s="3">
        <v>0</v>
      </c>
      <c r="J104" s="3">
        <v>0</v>
      </c>
      <c r="K104" s="3">
        <v>1</v>
      </c>
      <c r="L104" s="3">
        <v>9</v>
      </c>
      <c r="M104" s="3">
        <v>28</v>
      </c>
      <c r="N104" s="3">
        <v>28</v>
      </c>
      <c r="O104" s="3">
        <v>46</v>
      </c>
      <c r="P104" s="3">
        <v>39</v>
      </c>
      <c r="Q104" s="3">
        <v>21</v>
      </c>
      <c r="R104" s="3">
        <v>0</v>
      </c>
      <c r="S104" s="2">
        <f t="shared" si="4"/>
        <v>172</v>
      </c>
      <c r="T104" s="4">
        <f t="shared" si="5"/>
        <v>4388.4941860465115</v>
      </c>
    </row>
    <row r="105" spans="1:20" hidden="1" x14ac:dyDescent="0.3">
      <c r="A105">
        <v>353870905000475</v>
      </c>
      <c r="B105" t="s">
        <v>217</v>
      </c>
      <c r="C105" t="s">
        <v>82</v>
      </c>
      <c r="D105">
        <v>1</v>
      </c>
      <c r="E105">
        <v>0</v>
      </c>
      <c r="F105" s="1">
        <v>487698</v>
      </c>
      <c r="G105" s="1">
        <v>487698</v>
      </c>
      <c r="H105" s="1">
        <v>0</v>
      </c>
      <c r="I105" s="3">
        <v>0</v>
      </c>
      <c r="J105" s="3">
        <v>0</v>
      </c>
      <c r="K105" s="3">
        <v>0</v>
      </c>
      <c r="L105" s="3">
        <v>8</v>
      </c>
      <c r="M105" s="3">
        <v>27</v>
      </c>
      <c r="N105" s="3">
        <v>27</v>
      </c>
      <c r="O105" s="3">
        <v>29</v>
      </c>
      <c r="P105" s="3">
        <v>20</v>
      </c>
      <c r="Q105" s="3">
        <v>0</v>
      </c>
      <c r="R105" s="3">
        <v>1</v>
      </c>
      <c r="S105" s="2">
        <f t="shared" si="4"/>
        <v>112</v>
      </c>
      <c r="T105" s="4">
        <f t="shared" si="5"/>
        <v>4354.4464285714284</v>
      </c>
    </row>
    <row r="106" spans="1:20" hidden="1" x14ac:dyDescent="0.3">
      <c r="A106">
        <v>353870905000440</v>
      </c>
      <c r="B106" t="s">
        <v>217</v>
      </c>
      <c r="C106" t="s">
        <v>45</v>
      </c>
      <c r="D106">
        <v>1</v>
      </c>
      <c r="E106">
        <v>0</v>
      </c>
      <c r="F106" s="1">
        <v>143340</v>
      </c>
      <c r="G106" s="1">
        <v>143340</v>
      </c>
      <c r="H106" s="1">
        <v>0</v>
      </c>
      <c r="I106" s="3">
        <v>0</v>
      </c>
      <c r="J106" s="3">
        <v>0</v>
      </c>
      <c r="K106" s="3">
        <v>0</v>
      </c>
      <c r="L106" s="3">
        <v>6</v>
      </c>
      <c r="M106" s="3">
        <v>10</v>
      </c>
      <c r="N106" s="3">
        <v>5</v>
      </c>
      <c r="O106" s="3">
        <v>6</v>
      </c>
      <c r="P106" s="3">
        <v>3</v>
      </c>
      <c r="Q106" s="3">
        <v>2</v>
      </c>
      <c r="R106" s="3">
        <v>1</v>
      </c>
      <c r="S106" s="2">
        <f t="shared" si="4"/>
        <v>33</v>
      </c>
      <c r="T106" s="4">
        <f t="shared" si="5"/>
        <v>4343.636363636364</v>
      </c>
    </row>
    <row r="107" spans="1:20" hidden="1" x14ac:dyDescent="0.3">
      <c r="A107">
        <v>353870905000071</v>
      </c>
      <c r="B107" t="s">
        <v>217</v>
      </c>
      <c r="C107" t="s">
        <v>34</v>
      </c>
      <c r="D107">
        <v>1</v>
      </c>
      <c r="E107">
        <v>0</v>
      </c>
      <c r="F107" s="1">
        <v>537787</v>
      </c>
      <c r="G107" s="1">
        <v>537787</v>
      </c>
      <c r="H107" s="1">
        <v>0</v>
      </c>
      <c r="I107" s="3">
        <v>0</v>
      </c>
      <c r="J107" s="3">
        <v>1</v>
      </c>
      <c r="K107" s="3">
        <v>4</v>
      </c>
      <c r="L107" s="3">
        <v>20</v>
      </c>
      <c r="M107" s="3">
        <v>37</v>
      </c>
      <c r="N107" s="3">
        <v>21</v>
      </c>
      <c r="O107" s="3">
        <v>16</v>
      </c>
      <c r="P107" s="3">
        <v>15</v>
      </c>
      <c r="Q107" s="3">
        <v>6</v>
      </c>
      <c r="R107" s="3">
        <v>4</v>
      </c>
      <c r="S107" s="2">
        <f t="shared" si="4"/>
        <v>124</v>
      </c>
      <c r="T107" s="4">
        <f t="shared" si="5"/>
        <v>4336.9919354838712</v>
      </c>
    </row>
    <row r="108" spans="1:20" hidden="1" x14ac:dyDescent="0.3">
      <c r="A108">
        <v>353870905000105</v>
      </c>
      <c r="B108" t="s">
        <v>217</v>
      </c>
      <c r="C108" t="s">
        <v>220</v>
      </c>
      <c r="D108">
        <v>1</v>
      </c>
      <c r="E108">
        <v>1</v>
      </c>
      <c r="F108" s="1">
        <v>866771</v>
      </c>
      <c r="G108" s="1">
        <v>866056</v>
      </c>
      <c r="H108" s="1">
        <v>715</v>
      </c>
      <c r="I108" s="3">
        <v>0</v>
      </c>
      <c r="J108" s="3">
        <v>1</v>
      </c>
      <c r="K108" s="3">
        <v>3</v>
      </c>
      <c r="L108" s="3">
        <v>29</v>
      </c>
      <c r="M108" s="3">
        <v>47</v>
      </c>
      <c r="N108" s="3">
        <v>45</v>
      </c>
      <c r="O108" s="3">
        <v>39</v>
      </c>
      <c r="P108" s="3">
        <v>32</v>
      </c>
      <c r="Q108" s="3">
        <v>3</v>
      </c>
      <c r="R108" s="3">
        <v>1</v>
      </c>
      <c r="S108" s="2">
        <f t="shared" si="4"/>
        <v>200</v>
      </c>
      <c r="T108" s="4">
        <f t="shared" si="5"/>
        <v>4333.8549999999996</v>
      </c>
    </row>
    <row r="109" spans="1:20" hidden="1" x14ac:dyDescent="0.3">
      <c r="A109">
        <v>353870905000190</v>
      </c>
      <c r="B109" t="s">
        <v>217</v>
      </c>
      <c r="C109" t="s">
        <v>82</v>
      </c>
      <c r="D109">
        <v>1</v>
      </c>
      <c r="E109">
        <v>0</v>
      </c>
      <c r="F109" s="1">
        <v>852142</v>
      </c>
      <c r="G109" s="1">
        <v>852142</v>
      </c>
      <c r="H109" s="1">
        <v>0</v>
      </c>
      <c r="I109" s="3">
        <v>1</v>
      </c>
      <c r="J109" s="3">
        <v>1</v>
      </c>
      <c r="K109" s="3">
        <v>9</v>
      </c>
      <c r="L109" s="3">
        <v>15</v>
      </c>
      <c r="M109" s="3">
        <v>48</v>
      </c>
      <c r="N109" s="3">
        <v>29</v>
      </c>
      <c r="O109" s="3">
        <v>29</v>
      </c>
      <c r="P109" s="3">
        <v>24</v>
      </c>
      <c r="Q109" s="3">
        <v>5</v>
      </c>
      <c r="R109" s="3">
        <v>37</v>
      </c>
      <c r="S109" s="2">
        <f t="shared" si="4"/>
        <v>198</v>
      </c>
      <c r="T109" s="4">
        <f t="shared" si="5"/>
        <v>4303.7474747474744</v>
      </c>
    </row>
    <row r="110" spans="1:20" hidden="1" x14ac:dyDescent="0.3">
      <c r="A110">
        <v>353870905000182</v>
      </c>
      <c r="B110" t="s">
        <v>217</v>
      </c>
      <c r="C110" t="s">
        <v>145</v>
      </c>
      <c r="D110">
        <v>1</v>
      </c>
      <c r="E110">
        <v>0</v>
      </c>
      <c r="F110" s="1">
        <v>1023354</v>
      </c>
      <c r="G110" s="1">
        <v>1023354</v>
      </c>
      <c r="H110" s="1">
        <v>0</v>
      </c>
      <c r="I110" s="3">
        <v>0</v>
      </c>
      <c r="J110" s="3">
        <v>0</v>
      </c>
      <c r="K110" s="3">
        <v>8</v>
      </c>
      <c r="L110" s="3">
        <v>22</v>
      </c>
      <c r="M110" s="3">
        <v>63</v>
      </c>
      <c r="N110" s="3">
        <v>54</v>
      </c>
      <c r="O110" s="3">
        <v>52</v>
      </c>
      <c r="P110" s="3">
        <v>32</v>
      </c>
      <c r="Q110" s="3">
        <v>4</v>
      </c>
      <c r="R110" s="3">
        <v>3</v>
      </c>
      <c r="S110" s="2">
        <f t="shared" si="4"/>
        <v>238</v>
      </c>
      <c r="T110" s="4">
        <f t="shared" si="5"/>
        <v>4299.8067226890753</v>
      </c>
    </row>
    <row r="111" spans="1:20" hidden="1" x14ac:dyDescent="0.3">
      <c r="A111">
        <v>353870905000316</v>
      </c>
      <c r="B111" t="s">
        <v>217</v>
      </c>
      <c r="C111" t="s">
        <v>114</v>
      </c>
      <c r="D111">
        <v>1</v>
      </c>
      <c r="E111">
        <v>0</v>
      </c>
      <c r="F111" s="1">
        <v>873706</v>
      </c>
      <c r="G111" s="1">
        <v>873706</v>
      </c>
      <c r="H111" s="1">
        <v>0</v>
      </c>
      <c r="I111" s="3">
        <v>0</v>
      </c>
      <c r="J111" s="3">
        <v>0</v>
      </c>
      <c r="K111" s="3">
        <v>4</v>
      </c>
      <c r="L111" s="3">
        <v>19</v>
      </c>
      <c r="M111" s="3">
        <v>61</v>
      </c>
      <c r="N111" s="3">
        <v>53</v>
      </c>
      <c r="O111" s="3">
        <v>42</v>
      </c>
      <c r="P111" s="3">
        <v>17</v>
      </c>
      <c r="Q111" s="3">
        <v>7</v>
      </c>
      <c r="R111" s="3">
        <v>2</v>
      </c>
      <c r="S111" s="2">
        <f t="shared" si="4"/>
        <v>205</v>
      </c>
      <c r="T111" s="4">
        <f t="shared" si="5"/>
        <v>4261.9804878048781</v>
      </c>
    </row>
    <row r="112" spans="1:20" hidden="1" x14ac:dyDescent="0.3">
      <c r="A112">
        <v>353870905000094</v>
      </c>
      <c r="B112" t="s">
        <v>217</v>
      </c>
      <c r="C112" t="s">
        <v>28</v>
      </c>
      <c r="D112">
        <v>1</v>
      </c>
      <c r="E112">
        <v>2</v>
      </c>
      <c r="F112" s="1">
        <v>463496</v>
      </c>
      <c r="G112" s="1">
        <v>460196</v>
      </c>
      <c r="H112" s="1">
        <v>3300</v>
      </c>
      <c r="I112" s="3">
        <v>0</v>
      </c>
      <c r="J112" s="3">
        <v>0</v>
      </c>
      <c r="K112" s="3">
        <v>3</v>
      </c>
      <c r="L112" s="3">
        <v>4</v>
      </c>
      <c r="M112" s="3">
        <v>26</v>
      </c>
      <c r="N112" s="3">
        <v>27</v>
      </c>
      <c r="O112" s="3">
        <v>23</v>
      </c>
      <c r="P112" s="3">
        <v>20</v>
      </c>
      <c r="Q112" s="3">
        <v>5</v>
      </c>
      <c r="R112" s="3">
        <v>1</v>
      </c>
      <c r="S112" s="2">
        <f t="shared" si="4"/>
        <v>109</v>
      </c>
      <c r="T112" s="4">
        <f t="shared" si="5"/>
        <v>4252.2568807339449</v>
      </c>
    </row>
    <row r="113" spans="1:20" hidden="1" x14ac:dyDescent="0.3">
      <c r="A113">
        <v>353870905000117</v>
      </c>
      <c r="B113" t="s">
        <v>217</v>
      </c>
      <c r="C113" t="s">
        <v>140</v>
      </c>
      <c r="D113">
        <v>1</v>
      </c>
      <c r="E113">
        <v>0</v>
      </c>
      <c r="F113" s="1">
        <v>819136</v>
      </c>
      <c r="G113" s="1">
        <v>819136</v>
      </c>
      <c r="H113" s="1">
        <v>0</v>
      </c>
      <c r="I113" s="3">
        <v>0</v>
      </c>
      <c r="J113" s="3">
        <v>0</v>
      </c>
      <c r="K113" s="3">
        <v>4</v>
      </c>
      <c r="L113" s="3">
        <v>27</v>
      </c>
      <c r="M113" s="3">
        <v>40</v>
      </c>
      <c r="N113" s="3">
        <v>29</v>
      </c>
      <c r="O113" s="3">
        <v>34</v>
      </c>
      <c r="P113" s="3">
        <v>20</v>
      </c>
      <c r="Q113" s="3">
        <v>11</v>
      </c>
      <c r="R113" s="3">
        <v>28</v>
      </c>
      <c r="S113" s="2">
        <f t="shared" si="4"/>
        <v>193</v>
      </c>
      <c r="T113" s="4">
        <f t="shared" si="5"/>
        <v>4244.2279792746112</v>
      </c>
    </row>
    <row r="114" spans="1:20" hidden="1" x14ac:dyDescent="0.3">
      <c r="A114">
        <v>353870905000474</v>
      </c>
      <c r="B114" t="s">
        <v>217</v>
      </c>
      <c r="C114" t="s">
        <v>82</v>
      </c>
      <c r="D114">
        <v>1</v>
      </c>
      <c r="E114">
        <v>0</v>
      </c>
      <c r="F114" s="1">
        <v>754843</v>
      </c>
      <c r="G114" s="1">
        <v>754843</v>
      </c>
      <c r="H114" s="1">
        <v>0</v>
      </c>
      <c r="I114" s="3">
        <v>0</v>
      </c>
      <c r="J114" s="3">
        <v>0</v>
      </c>
      <c r="K114" s="3">
        <v>2</v>
      </c>
      <c r="L114" s="3">
        <v>11</v>
      </c>
      <c r="M114" s="3">
        <v>66</v>
      </c>
      <c r="N114" s="3">
        <v>40</v>
      </c>
      <c r="O114" s="3">
        <v>36</v>
      </c>
      <c r="P114" s="3">
        <v>20</v>
      </c>
      <c r="Q114" s="3">
        <v>2</v>
      </c>
      <c r="R114" s="3">
        <v>1</v>
      </c>
      <c r="S114" s="2">
        <f t="shared" si="4"/>
        <v>178</v>
      </c>
      <c r="T114" s="4">
        <f t="shared" si="5"/>
        <v>4240.6910112359546</v>
      </c>
    </row>
    <row r="115" spans="1:20" hidden="1" x14ac:dyDescent="0.3">
      <c r="A115">
        <v>353870905000057</v>
      </c>
      <c r="B115" t="s">
        <v>217</v>
      </c>
      <c r="C115" t="s">
        <v>220</v>
      </c>
      <c r="D115">
        <v>1</v>
      </c>
      <c r="E115">
        <v>0</v>
      </c>
      <c r="F115" s="1">
        <v>656121</v>
      </c>
      <c r="G115" s="1">
        <v>656121</v>
      </c>
      <c r="H115" s="1">
        <v>0</v>
      </c>
      <c r="I115" s="3">
        <v>0</v>
      </c>
      <c r="J115" s="3">
        <v>0</v>
      </c>
      <c r="K115" s="3">
        <v>0</v>
      </c>
      <c r="L115" s="3">
        <v>14</v>
      </c>
      <c r="M115" s="3">
        <v>36</v>
      </c>
      <c r="N115" s="3">
        <v>38</v>
      </c>
      <c r="O115" s="3">
        <v>45</v>
      </c>
      <c r="P115" s="3">
        <v>13</v>
      </c>
      <c r="Q115" s="3">
        <v>6</v>
      </c>
      <c r="R115" s="3">
        <v>3</v>
      </c>
      <c r="S115" s="2">
        <f t="shared" si="4"/>
        <v>155</v>
      </c>
      <c r="T115" s="4">
        <f t="shared" si="5"/>
        <v>4233.0387096774193</v>
      </c>
    </row>
    <row r="116" spans="1:20" hidden="1" x14ac:dyDescent="0.3">
      <c r="A116">
        <v>353870905000140</v>
      </c>
      <c r="B116" t="s">
        <v>217</v>
      </c>
      <c r="C116" t="s">
        <v>54</v>
      </c>
      <c r="D116">
        <v>1</v>
      </c>
      <c r="E116">
        <v>0</v>
      </c>
      <c r="F116" s="1">
        <v>1278215</v>
      </c>
      <c r="G116" s="1">
        <v>1278215</v>
      </c>
      <c r="H116" s="1">
        <v>0</v>
      </c>
      <c r="I116" s="3">
        <v>0</v>
      </c>
      <c r="J116" s="3">
        <v>0</v>
      </c>
      <c r="K116" s="3">
        <v>4</v>
      </c>
      <c r="L116" s="3">
        <v>35</v>
      </c>
      <c r="M116" s="3">
        <v>88</v>
      </c>
      <c r="N116" s="3">
        <v>59</v>
      </c>
      <c r="O116" s="3">
        <v>63</v>
      </c>
      <c r="P116" s="3">
        <v>33</v>
      </c>
      <c r="Q116" s="3">
        <v>12</v>
      </c>
      <c r="R116" s="3">
        <v>9</v>
      </c>
      <c r="S116" s="2">
        <f t="shared" si="4"/>
        <v>303</v>
      </c>
      <c r="T116" s="4">
        <f t="shared" si="5"/>
        <v>4218.5313531353131</v>
      </c>
    </row>
    <row r="117" spans="1:20" hidden="1" x14ac:dyDescent="0.3">
      <c r="A117">
        <v>353870905000499</v>
      </c>
      <c r="B117" t="s">
        <v>217</v>
      </c>
      <c r="C117" t="s">
        <v>77</v>
      </c>
      <c r="D117">
        <v>1</v>
      </c>
      <c r="E117">
        <v>0</v>
      </c>
      <c r="F117" s="1">
        <v>402359</v>
      </c>
      <c r="G117" s="1">
        <v>402359</v>
      </c>
      <c r="H117" s="1">
        <v>0</v>
      </c>
      <c r="I117" s="3">
        <v>0</v>
      </c>
      <c r="J117" s="3">
        <v>0</v>
      </c>
      <c r="K117" s="3">
        <v>7</v>
      </c>
      <c r="L117" s="3">
        <v>25</v>
      </c>
      <c r="M117" s="3">
        <v>28</v>
      </c>
      <c r="N117" s="3">
        <v>15</v>
      </c>
      <c r="O117" s="3">
        <v>13</v>
      </c>
      <c r="P117" s="3">
        <v>5</v>
      </c>
      <c r="Q117" s="3">
        <v>2</v>
      </c>
      <c r="R117" s="3">
        <v>1</v>
      </c>
      <c r="S117" s="2">
        <f t="shared" si="4"/>
        <v>96</v>
      </c>
      <c r="T117" s="4">
        <f t="shared" si="5"/>
        <v>4191.239583333333</v>
      </c>
    </row>
    <row r="118" spans="1:20" hidden="1" x14ac:dyDescent="0.3">
      <c r="A118">
        <v>353870905000001</v>
      </c>
      <c r="B118" t="s">
        <v>217</v>
      </c>
      <c r="C118" t="s">
        <v>28</v>
      </c>
      <c r="D118">
        <v>1</v>
      </c>
      <c r="E118">
        <v>0</v>
      </c>
      <c r="F118" s="1">
        <v>586239</v>
      </c>
      <c r="G118" s="1">
        <v>586239</v>
      </c>
      <c r="H118" s="1">
        <v>0</v>
      </c>
      <c r="I118" s="3">
        <v>0</v>
      </c>
      <c r="J118" s="3">
        <v>0</v>
      </c>
      <c r="K118" s="3">
        <v>1</v>
      </c>
      <c r="L118" s="3">
        <v>15</v>
      </c>
      <c r="M118" s="3">
        <v>27</v>
      </c>
      <c r="N118" s="3">
        <v>20</v>
      </c>
      <c r="O118" s="3">
        <v>37</v>
      </c>
      <c r="P118" s="3">
        <v>24</v>
      </c>
      <c r="Q118" s="3">
        <v>12</v>
      </c>
      <c r="R118" s="3">
        <v>4</v>
      </c>
      <c r="S118" s="2">
        <f t="shared" si="4"/>
        <v>140</v>
      </c>
      <c r="T118" s="4">
        <f t="shared" si="5"/>
        <v>4187.4214285714288</v>
      </c>
    </row>
    <row r="119" spans="1:20" hidden="1" x14ac:dyDescent="0.3">
      <c r="A119">
        <v>353870905000245</v>
      </c>
      <c r="B119" t="s">
        <v>217</v>
      </c>
      <c r="C119" t="s">
        <v>96</v>
      </c>
      <c r="D119">
        <v>1</v>
      </c>
      <c r="E119">
        <v>1</v>
      </c>
      <c r="F119" s="1">
        <v>920939</v>
      </c>
      <c r="G119" s="1">
        <v>919839</v>
      </c>
      <c r="H119" s="1">
        <v>1100</v>
      </c>
      <c r="I119" s="3">
        <v>0</v>
      </c>
      <c r="J119" s="3">
        <v>1</v>
      </c>
      <c r="K119" s="3">
        <v>3</v>
      </c>
      <c r="L119" s="3">
        <v>15</v>
      </c>
      <c r="M119" s="3">
        <v>49</v>
      </c>
      <c r="N119" s="3">
        <v>55</v>
      </c>
      <c r="O119" s="3">
        <v>58</v>
      </c>
      <c r="P119" s="3">
        <v>32</v>
      </c>
      <c r="Q119" s="3">
        <v>6</v>
      </c>
      <c r="R119" s="3">
        <v>1</v>
      </c>
      <c r="S119" s="2">
        <f t="shared" si="4"/>
        <v>220</v>
      </c>
      <c r="T119" s="4">
        <f t="shared" si="5"/>
        <v>4186.0863636363638</v>
      </c>
    </row>
    <row r="120" spans="1:20" hidden="1" x14ac:dyDescent="0.3">
      <c r="A120">
        <v>353870905000033</v>
      </c>
      <c r="B120" t="s">
        <v>217</v>
      </c>
      <c r="C120" t="s">
        <v>28</v>
      </c>
      <c r="D120">
        <v>1</v>
      </c>
      <c r="E120">
        <v>0</v>
      </c>
      <c r="F120" s="1">
        <v>826320</v>
      </c>
      <c r="G120" s="1">
        <v>826320</v>
      </c>
      <c r="H120" s="1">
        <v>0</v>
      </c>
      <c r="I120" s="3">
        <v>1</v>
      </c>
      <c r="J120" s="3">
        <v>0</v>
      </c>
      <c r="K120" s="3">
        <v>8</v>
      </c>
      <c r="L120" s="3">
        <v>22</v>
      </c>
      <c r="M120" s="3">
        <v>64</v>
      </c>
      <c r="N120" s="3">
        <v>25</v>
      </c>
      <c r="O120" s="3">
        <v>37</v>
      </c>
      <c r="P120" s="3">
        <v>18</v>
      </c>
      <c r="Q120" s="3">
        <v>13</v>
      </c>
      <c r="R120" s="3">
        <v>10</v>
      </c>
      <c r="S120" s="2">
        <f t="shared" si="4"/>
        <v>198</v>
      </c>
      <c r="T120" s="4">
        <f t="shared" si="5"/>
        <v>4173.333333333333</v>
      </c>
    </row>
    <row r="121" spans="1:20" hidden="1" x14ac:dyDescent="0.3">
      <c r="A121">
        <v>353870905000116</v>
      </c>
      <c r="B121" t="s">
        <v>217</v>
      </c>
      <c r="C121" t="s">
        <v>140</v>
      </c>
      <c r="D121">
        <v>1</v>
      </c>
      <c r="E121">
        <v>0</v>
      </c>
      <c r="F121" s="1">
        <v>828763</v>
      </c>
      <c r="G121" s="1">
        <v>828763</v>
      </c>
      <c r="H121" s="1">
        <v>0</v>
      </c>
      <c r="I121" s="3">
        <v>0</v>
      </c>
      <c r="J121" s="3">
        <v>2</v>
      </c>
      <c r="K121" s="3">
        <v>3</v>
      </c>
      <c r="L121" s="3">
        <v>35</v>
      </c>
      <c r="M121" s="3">
        <v>67</v>
      </c>
      <c r="N121" s="3">
        <v>33</v>
      </c>
      <c r="O121" s="3">
        <v>36</v>
      </c>
      <c r="P121" s="3">
        <v>14</v>
      </c>
      <c r="Q121" s="3">
        <v>10</v>
      </c>
      <c r="R121" s="3">
        <v>1</v>
      </c>
      <c r="S121" s="2">
        <f t="shared" si="4"/>
        <v>201</v>
      </c>
      <c r="T121" s="4">
        <f t="shared" si="5"/>
        <v>4123.1990049751248</v>
      </c>
    </row>
    <row r="122" spans="1:20" hidden="1" x14ac:dyDescent="0.3">
      <c r="A122">
        <v>353870905000070</v>
      </c>
      <c r="B122" t="s">
        <v>217</v>
      </c>
      <c r="C122" t="s">
        <v>34</v>
      </c>
      <c r="D122">
        <v>1</v>
      </c>
      <c r="E122">
        <v>0</v>
      </c>
      <c r="F122" s="1">
        <v>737915</v>
      </c>
      <c r="G122" s="1">
        <v>737915</v>
      </c>
      <c r="H122" s="1">
        <v>0</v>
      </c>
      <c r="I122" s="3">
        <v>0</v>
      </c>
      <c r="J122" s="3">
        <v>0</v>
      </c>
      <c r="K122" s="3">
        <v>4</v>
      </c>
      <c r="L122" s="3">
        <v>21</v>
      </c>
      <c r="M122" s="3">
        <v>50</v>
      </c>
      <c r="N122" s="3">
        <v>38</v>
      </c>
      <c r="O122" s="3">
        <v>34</v>
      </c>
      <c r="P122" s="3">
        <v>24</v>
      </c>
      <c r="Q122" s="3">
        <v>5</v>
      </c>
      <c r="R122" s="3">
        <v>3</v>
      </c>
      <c r="S122" s="2">
        <f t="shared" si="4"/>
        <v>179</v>
      </c>
      <c r="T122" s="4">
        <f t="shared" si="5"/>
        <v>4122.4301675977649</v>
      </c>
    </row>
    <row r="123" spans="1:20" hidden="1" x14ac:dyDescent="0.3">
      <c r="A123">
        <v>353870905000192</v>
      </c>
      <c r="B123" t="s">
        <v>217</v>
      </c>
      <c r="C123" t="s">
        <v>82</v>
      </c>
      <c r="D123">
        <v>1</v>
      </c>
      <c r="E123">
        <v>0</v>
      </c>
      <c r="F123" s="1">
        <v>776955</v>
      </c>
      <c r="G123" s="1">
        <v>776955</v>
      </c>
      <c r="H123" s="1">
        <v>0</v>
      </c>
      <c r="I123" s="3">
        <v>0</v>
      </c>
      <c r="J123" s="3">
        <v>0</v>
      </c>
      <c r="K123" s="3">
        <v>1</v>
      </c>
      <c r="L123" s="3">
        <v>29</v>
      </c>
      <c r="M123" s="3">
        <v>51</v>
      </c>
      <c r="N123" s="3">
        <v>46</v>
      </c>
      <c r="O123" s="3">
        <v>38</v>
      </c>
      <c r="P123" s="3">
        <v>19</v>
      </c>
      <c r="Q123" s="3">
        <v>3</v>
      </c>
      <c r="R123" s="3">
        <v>4</v>
      </c>
      <c r="S123" s="2">
        <f t="shared" si="4"/>
        <v>191</v>
      </c>
      <c r="T123" s="4">
        <f t="shared" si="5"/>
        <v>4067.8272251308899</v>
      </c>
    </row>
    <row r="124" spans="1:20" hidden="1" x14ac:dyDescent="0.3">
      <c r="A124">
        <v>353870905000384</v>
      </c>
      <c r="B124" t="s">
        <v>217</v>
      </c>
      <c r="C124" t="s">
        <v>119</v>
      </c>
      <c r="D124">
        <v>1</v>
      </c>
      <c r="E124">
        <v>0</v>
      </c>
      <c r="F124" s="1">
        <v>1293889</v>
      </c>
      <c r="G124" s="1">
        <v>1293889</v>
      </c>
      <c r="H124" s="1">
        <v>0</v>
      </c>
      <c r="I124" s="3">
        <v>0</v>
      </c>
      <c r="J124" s="3">
        <v>3</v>
      </c>
      <c r="K124" s="3">
        <v>8</v>
      </c>
      <c r="L124" s="3">
        <v>57</v>
      </c>
      <c r="M124" s="3">
        <v>117</v>
      </c>
      <c r="N124" s="3">
        <v>66</v>
      </c>
      <c r="O124" s="3">
        <v>35</v>
      </c>
      <c r="P124" s="3">
        <v>22</v>
      </c>
      <c r="Q124" s="3">
        <v>12</v>
      </c>
      <c r="R124" s="3">
        <v>0</v>
      </c>
      <c r="S124" s="2">
        <f t="shared" si="4"/>
        <v>320</v>
      </c>
      <c r="T124" s="4">
        <f t="shared" si="5"/>
        <v>4043.4031249999998</v>
      </c>
    </row>
    <row r="125" spans="1:20" hidden="1" x14ac:dyDescent="0.3">
      <c r="A125">
        <v>353870905000319</v>
      </c>
      <c r="B125" t="s">
        <v>217</v>
      </c>
      <c r="C125" t="s">
        <v>108</v>
      </c>
      <c r="D125">
        <v>1</v>
      </c>
      <c r="E125">
        <v>0</v>
      </c>
      <c r="F125" s="1">
        <v>758893</v>
      </c>
      <c r="G125" s="1">
        <v>758893</v>
      </c>
      <c r="H125" s="1">
        <v>0</v>
      </c>
      <c r="I125" s="3">
        <v>0</v>
      </c>
      <c r="J125" s="3">
        <v>0</v>
      </c>
      <c r="K125" s="3">
        <v>4</v>
      </c>
      <c r="L125" s="3">
        <v>25</v>
      </c>
      <c r="M125" s="3">
        <v>64</v>
      </c>
      <c r="N125" s="3">
        <v>39</v>
      </c>
      <c r="O125" s="3">
        <v>33</v>
      </c>
      <c r="P125" s="3">
        <v>20</v>
      </c>
      <c r="Q125" s="3">
        <v>3</v>
      </c>
      <c r="R125" s="3">
        <v>1</v>
      </c>
      <c r="S125" s="2">
        <f t="shared" si="4"/>
        <v>189</v>
      </c>
      <c r="T125" s="4">
        <f t="shared" si="5"/>
        <v>4015.3068783068784</v>
      </c>
    </row>
    <row r="126" spans="1:20" hidden="1" x14ac:dyDescent="0.3">
      <c r="A126">
        <v>353870905000131</v>
      </c>
      <c r="B126" t="s">
        <v>217</v>
      </c>
      <c r="C126" t="s">
        <v>71</v>
      </c>
      <c r="D126">
        <v>1</v>
      </c>
      <c r="E126">
        <v>0</v>
      </c>
      <c r="F126" s="1">
        <v>1044818</v>
      </c>
      <c r="G126" s="1">
        <v>1044818</v>
      </c>
      <c r="H126" s="1">
        <v>0</v>
      </c>
      <c r="I126" s="3">
        <v>0</v>
      </c>
      <c r="J126" s="3">
        <v>3</v>
      </c>
      <c r="K126" s="3">
        <v>7</v>
      </c>
      <c r="L126" s="3">
        <v>32</v>
      </c>
      <c r="M126" s="3">
        <v>66</v>
      </c>
      <c r="N126" s="3">
        <v>40</v>
      </c>
      <c r="O126" s="3">
        <v>52</v>
      </c>
      <c r="P126" s="3">
        <v>47</v>
      </c>
      <c r="Q126" s="3">
        <v>12</v>
      </c>
      <c r="R126" s="3">
        <v>2</v>
      </c>
      <c r="S126" s="2">
        <f t="shared" si="4"/>
        <v>261</v>
      </c>
      <c r="T126" s="4">
        <f t="shared" si="5"/>
        <v>4003.1340996168583</v>
      </c>
    </row>
    <row r="127" spans="1:20" hidden="1" x14ac:dyDescent="0.3">
      <c r="A127">
        <v>353870905000092</v>
      </c>
      <c r="B127" t="s">
        <v>217</v>
      </c>
      <c r="C127" t="s">
        <v>28</v>
      </c>
      <c r="D127">
        <v>1</v>
      </c>
      <c r="E127">
        <v>0</v>
      </c>
      <c r="F127" s="1">
        <v>637783</v>
      </c>
      <c r="G127" s="1">
        <v>637783</v>
      </c>
      <c r="H127" s="1">
        <v>0</v>
      </c>
      <c r="I127" s="3">
        <v>0</v>
      </c>
      <c r="J127" s="3">
        <v>2</v>
      </c>
      <c r="K127" s="3">
        <v>4</v>
      </c>
      <c r="L127" s="3">
        <v>21</v>
      </c>
      <c r="M127" s="3">
        <v>43</v>
      </c>
      <c r="N127" s="3">
        <v>26</v>
      </c>
      <c r="O127" s="3">
        <v>24</v>
      </c>
      <c r="P127" s="3">
        <v>28</v>
      </c>
      <c r="Q127" s="3">
        <v>7</v>
      </c>
      <c r="R127" s="3">
        <v>5</v>
      </c>
      <c r="S127" s="2">
        <f t="shared" si="4"/>
        <v>160</v>
      </c>
      <c r="T127" s="4">
        <f t="shared" si="5"/>
        <v>3986.1437500000002</v>
      </c>
    </row>
    <row r="128" spans="1:20" hidden="1" x14ac:dyDescent="0.3">
      <c r="A128">
        <v>353870905000530</v>
      </c>
      <c r="B128" t="s">
        <v>217</v>
      </c>
      <c r="C128" t="s">
        <v>10</v>
      </c>
      <c r="D128">
        <v>1</v>
      </c>
      <c r="E128">
        <v>0</v>
      </c>
      <c r="F128" s="1">
        <v>59340</v>
      </c>
      <c r="G128" s="1">
        <v>59340</v>
      </c>
      <c r="H128" s="1">
        <v>0</v>
      </c>
      <c r="I128" s="3">
        <v>0</v>
      </c>
      <c r="J128" s="3">
        <v>0</v>
      </c>
      <c r="K128" s="3">
        <v>0</v>
      </c>
      <c r="L128" s="3">
        <v>3</v>
      </c>
      <c r="M128" s="3">
        <v>5</v>
      </c>
      <c r="N128" s="3">
        <v>0</v>
      </c>
      <c r="O128" s="3">
        <v>2</v>
      </c>
      <c r="P128" s="3">
        <v>5</v>
      </c>
      <c r="Q128" s="3">
        <v>0</v>
      </c>
      <c r="R128" s="3">
        <v>0</v>
      </c>
      <c r="S128" s="2">
        <f t="shared" si="4"/>
        <v>15</v>
      </c>
      <c r="T128" s="4">
        <f t="shared" si="5"/>
        <v>3956</v>
      </c>
    </row>
    <row r="129" spans="1:20" hidden="1" x14ac:dyDescent="0.3">
      <c r="A129">
        <v>353870905000123</v>
      </c>
      <c r="B129" t="s">
        <v>217</v>
      </c>
      <c r="C129" t="s">
        <v>140</v>
      </c>
      <c r="D129">
        <v>1</v>
      </c>
      <c r="E129">
        <v>0</v>
      </c>
      <c r="F129" s="1">
        <v>821984</v>
      </c>
      <c r="G129" s="1">
        <v>821984</v>
      </c>
      <c r="H129" s="1">
        <v>0</v>
      </c>
      <c r="I129" s="3">
        <v>1</v>
      </c>
      <c r="J129" s="3">
        <v>0</v>
      </c>
      <c r="K129" s="3">
        <v>6</v>
      </c>
      <c r="L129" s="3">
        <v>30</v>
      </c>
      <c r="M129" s="3">
        <v>71</v>
      </c>
      <c r="N129" s="3">
        <v>46</v>
      </c>
      <c r="O129" s="3">
        <v>30</v>
      </c>
      <c r="P129" s="3">
        <v>16</v>
      </c>
      <c r="Q129" s="3">
        <v>8</v>
      </c>
      <c r="R129" s="3">
        <v>1</v>
      </c>
      <c r="S129" s="2">
        <f t="shared" si="4"/>
        <v>209</v>
      </c>
      <c r="T129" s="4">
        <f t="shared" si="5"/>
        <v>3932.9377990430621</v>
      </c>
    </row>
    <row r="130" spans="1:20" hidden="1" x14ac:dyDescent="0.3">
      <c r="A130">
        <v>353870905000238</v>
      </c>
      <c r="B130" t="s">
        <v>217</v>
      </c>
      <c r="C130" t="s">
        <v>54</v>
      </c>
      <c r="D130">
        <v>1</v>
      </c>
      <c r="E130">
        <v>0</v>
      </c>
      <c r="F130" s="1">
        <v>833654</v>
      </c>
      <c r="G130" s="1">
        <v>833654</v>
      </c>
      <c r="H130" s="1">
        <v>0</v>
      </c>
      <c r="I130" s="3">
        <v>0</v>
      </c>
      <c r="J130" s="3">
        <v>1</v>
      </c>
      <c r="K130" s="3">
        <v>8</v>
      </c>
      <c r="L130" s="3">
        <v>29</v>
      </c>
      <c r="M130" s="3">
        <v>66</v>
      </c>
      <c r="N130" s="3">
        <v>40</v>
      </c>
      <c r="O130" s="3">
        <v>33</v>
      </c>
      <c r="P130" s="3">
        <v>28</v>
      </c>
      <c r="Q130" s="3">
        <v>5</v>
      </c>
      <c r="R130" s="3">
        <v>3</v>
      </c>
      <c r="S130" s="2">
        <f t="shared" si="4"/>
        <v>213</v>
      </c>
      <c r="T130" s="4">
        <f t="shared" si="5"/>
        <v>3913.868544600939</v>
      </c>
    </row>
    <row r="131" spans="1:20" hidden="1" x14ac:dyDescent="0.3">
      <c r="A131">
        <v>353870905000439</v>
      </c>
      <c r="B131" t="s">
        <v>217</v>
      </c>
      <c r="C131" t="s">
        <v>45</v>
      </c>
      <c r="D131">
        <v>1</v>
      </c>
      <c r="E131">
        <v>0</v>
      </c>
      <c r="F131" s="1">
        <v>343931</v>
      </c>
      <c r="G131" s="1">
        <v>343931</v>
      </c>
      <c r="H131" s="1">
        <v>0</v>
      </c>
      <c r="I131" s="3">
        <v>0</v>
      </c>
      <c r="J131" s="3">
        <v>1</v>
      </c>
      <c r="K131" s="3">
        <v>2</v>
      </c>
      <c r="L131" s="3">
        <v>7</v>
      </c>
      <c r="M131" s="3">
        <v>18</v>
      </c>
      <c r="N131" s="3">
        <v>13</v>
      </c>
      <c r="O131" s="3">
        <v>21</v>
      </c>
      <c r="P131" s="3">
        <v>17</v>
      </c>
      <c r="Q131" s="3">
        <v>7</v>
      </c>
      <c r="R131" s="3">
        <v>2</v>
      </c>
      <c r="S131" s="2">
        <f t="shared" ref="S131:S194" si="6">SUM(I131:R131)</f>
        <v>88</v>
      </c>
      <c r="T131" s="4">
        <f t="shared" ref="T131:T194" si="7">F131/S131</f>
        <v>3908.306818181818</v>
      </c>
    </row>
    <row r="132" spans="1:20" hidden="1" x14ac:dyDescent="0.3">
      <c r="A132">
        <v>353870905000315</v>
      </c>
      <c r="B132" t="s">
        <v>217</v>
      </c>
      <c r="C132" t="s">
        <v>114</v>
      </c>
      <c r="D132">
        <v>1</v>
      </c>
      <c r="E132">
        <v>0</v>
      </c>
      <c r="F132" s="1">
        <v>765677</v>
      </c>
      <c r="G132" s="1">
        <v>765677</v>
      </c>
      <c r="H132" s="1">
        <v>0</v>
      </c>
      <c r="I132" s="3">
        <v>0</v>
      </c>
      <c r="J132" s="3">
        <v>1</v>
      </c>
      <c r="K132" s="3">
        <v>4</v>
      </c>
      <c r="L132" s="3">
        <v>26</v>
      </c>
      <c r="M132" s="3">
        <v>62</v>
      </c>
      <c r="N132" s="3">
        <v>41</v>
      </c>
      <c r="O132" s="3">
        <v>36</v>
      </c>
      <c r="P132" s="3">
        <v>19</v>
      </c>
      <c r="Q132" s="3">
        <v>5</v>
      </c>
      <c r="R132" s="3">
        <v>3</v>
      </c>
      <c r="S132" s="2">
        <f t="shared" si="6"/>
        <v>197</v>
      </c>
      <c r="T132" s="4">
        <f t="shared" si="7"/>
        <v>3886.6852791878173</v>
      </c>
    </row>
    <row r="133" spans="1:20" hidden="1" x14ac:dyDescent="0.3">
      <c r="A133">
        <v>353870905000050</v>
      </c>
      <c r="B133" t="s">
        <v>217</v>
      </c>
      <c r="C133" t="s">
        <v>45</v>
      </c>
      <c r="D133">
        <v>1</v>
      </c>
      <c r="E133">
        <v>0</v>
      </c>
      <c r="F133" s="1">
        <v>710463</v>
      </c>
      <c r="G133" s="1">
        <v>710463</v>
      </c>
      <c r="H133" s="1">
        <v>0</v>
      </c>
      <c r="I133" s="3">
        <v>0</v>
      </c>
      <c r="J133" s="3">
        <v>0</v>
      </c>
      <c r="K133" s="3">
        <v>4</v>
      </c>
      <c r="L133" s="3">
        <v>23</v>
      </c>
      <c r="M133" s="3">
        <v>50</v>
      </c>
      <c r="N133" s="3">
        <v>43</v>
      </c>
      <c r="O133" s="3">
        <v>38</v>
      </c>
      <c r="P133" s="3">
        <v>23</v>
      </c>
      <c r="Q133" s="3">
        <v>2</v>
      </c>
      <c r="R133" s="3">
        <v>0</v>
      </c>
      <c r="S133" s="2">
        <f t="shared" si="6"/>
        <v>183</v>
      </c>
      <c r="T133" s="4">
        <f t="shared" si="7"/>
        <v>3882.311475409836</v>
      </c>
    </row>
    <row r="134" spans="1:20" hidden="1" x14ac:dyDescent="0.3">
      <c r="A134">
        <v>353870905000072</v>
      </c>
      <c r="B134" t="s">
        <v>217</v>
      </c>
      <c r="C134" t="s">
        <v>149</v>
      </c>
      <c r="D134">
        <v>1</v>
      </c>
      <c r="E134">
        <v>0</v>
      </c>
      <c r="F134" s="1">
        <v>538006</v>
      </c>
      <c r="G134" s="1">
        <v>538006</v>
      </c>
      <c r="H134" s="1">
        <v>0</v>
      </c>
      <c r="I134" s="3">
        <v>0</v>
      </c>
      <c r="J134" s="3">
        <v>0</v>
      </c>
      <c r="K134" s="3">
        <v>6</v>
      </c>
      <c r="L134" s="3">
        <v>18</v>
      </c>
      <c r="M134" s="3">
        <v>43</v>
      </c>
      <c r="N134" s="3">
        <v>24</v>
      </c>
      <c r="O134" s="3">
        <v>27</v>
      </c>
      <c r="P134" s="3">
        <v>14</v>
      </c>
      <c r="Q134" s="3">
        <v>5</v>
      </c>
      <c r="R134" s="3">
        <v>2</v>
      </c>
      <c r="S134" s="2">
        <f t="shared" si="6"/>
        <v>139</v>
      </c>
      <c r="T134" s="4">
        <f t="shared" si="7"/>
        <v>3870.5467625899282</v>
      </c>
    </row>
    <row r="135" spans="1:20" hidden="1" x14ac:dyDescent="0.3">
      <c r="A135">
        <v>353870905000191</v>
      </c>
      <c r="B135" t="s">
        <v>217</v>
      </c>
      <c r="C135" t="s">
        <v>82</v>
      </c>
      <c r="D135">
        <v>1</v>
      </c>
      <c r="E135">
        <v>0</v>
      </c>
      <c r="F135" s="1">
        <v>602438</v>
      </c>
      <c r="G135" s="1">
        <v>602438</v>
      </c>
      <c r="H135" s="1">
        <v>0</v>
      </c>
      <c r="I135" s="3">
        <v>0</v>
      </c>
      <c r="J135" s="3">
        <v>1</v>
      </c>
      <c r="K135" s="3">
        <v>7</v>
      </c>
      <c r="L135" s="3">
        <v>12</v>
      </c>
      <c r="M135" s="3">
        <v>50</v>
      </c>
      <c r="N135" s="3">
        <v>42</v>
      </c>
      <c r="O135" s="3">
        <v>27</v>
      </c>
      <c r="P135" s="3">
        <v>14</v>
      </c>
      <c r="Q135" s="3">
        <v>2</v>
      </c>
      <c r="R135" s="3">
        <v>1</v>
      </c>
      <c r="S135" s="2">
        <f t="shared" si="6"/>
        <v>156</v>
      </c>
      <c r="T135" s="4">
        <f t="shared" si="7"/>
        <v>3861.7820512820513</v>
      </c>
    </row>
    <row r="136" spans="1:20" hidden="1" x14ac:dyDescent="0.3">
      <c r="A136">
        <v>353870905000119</v>
      </c>
      <c r="B136" t="s">
        <v>217</v>
      </c>
      <c r="C136" t="s">
        <v>140</v>
      </c>
      <c r="D136">
        <v>1</v>
      </c>
      <c r="E136">
        <v>0</v>
      </c>
      <c r="F136" s="1">
        <v>470398</v>
      </c>
      <c r="G136" s="1">
        <v>470398</v>
      </c>
      <c r="H136" s="1">
        <v>0</v>
      </c>
      <c r="I136" s="3">
        <v>1</v>
      </c>
      <c r="J136" s="3">
        <v>1</v>
      </c>
      <c r="K136" s="3">
        <v>1</v>
      </c>
      <c r="L136" s="3">
        <v>9</v>
      </c>
      <c r="M136" s="3">
        <v>35</v>
      </c>
      <c r="N136" s="3">
        <v>24</v>
      </c>
      <c r="O136" s="3">
        <v>24</v>
      </c>
      <c r="P136" s="3">
        <v>21</v>
      </c>
      <c r="Q136" s="3">
        <v>3</v>
      </c>
      <c r="R136" s="3">
        <v>3</v>
      </c>
      <c r="S136" s="2">
        <f t="shared" si="6"/>
        <v>122</v>
      </c>
      <c r="T136" s="4">
        <f t="shared" si="7"/>
        <v>3855.7213114754099</v>
      </c>
    </row>
    <row r="137" spans="1:20" hidden="1" x14ac:dyDescent="0.3">
      <c r="A137">
        <v>353870905000066</v>
      </c>
      <c r="B137" t="s">
        <v>217</v>
      </c>
      <c r="C137" t="s">
        <v>34</v>
      </c>
      <c r="D137">
        <v>1</v>
      </c>
      <c r="E137">
        <v>0</v>
      </c>
      <c r="F137" s="1">
        <v>644892</v>
      </c>
      <c r="G137" s="1">
        <v>644892</v>
      </c>
      <c r="H137" s="1">
        <v>0</v>
      </c>
      <c r="I137" s="3">
        <v>1</v>
      </c>
      <c r="J137" s="3">
        <v>0</v>
      </c>
      <c r="K137" s="3">
        <v>2</v>
      </c>
      <c r="L137" s="3">
        <v>23</v>
      </c>
      <c r="M137" s="3">
        <v>48</v>
      </c>
      <c r="N137" s="3">
        <v>40</v>
      </c>
      <c r="O137" s="3">
        <v>30</v>
      </c>
      <c r="P137" s="3">
        <v>20</v>
      </c>
      <c r="Q137" s="3">
        <v>3</v>
      </c>
      <c r="R137" s="3">
        <v>1</v>
      </c>
      <c r="S137" s="2">
        <f t="shared" si="6"/>
        <v>168</v>
      </c>
      <c r="T137" s="4">
        <f t="shared" si="7"/>
        <v>3838.6428571428573</v>
      </c>
    </row>
    <row r="138" spans="1:20" hidden="1" x14ac:dyDescent="0.3">
      <c r="A138">
        <v>353870905000241</v>
      </c>
      <c r="B138" t="s">
        <v>217</v>
      </c>
      <c r="C138" t="s">
        <v>31</v>
      </c>
      <c r="D138">
        <v>1</v>
      </c>
      <c r="E138">
        <v>0</v>
      </c>
      <c r="F138" s="1">
        <v>1341770</v>
      </c>
      <c r="G138" s="1">
        <v>1341770</v>
      </c>
      <c r="H138" s="1">
        <v>0</v>
      </c>
      <c r="I138" s="3">
        <v>0</v>
      </c>
      <c r="J138" s="3">
        <v>0</v>
      </c>
      <c r="K138" s="3">
        <v>3</v>
      </c>
      <c r="L138" s="3">
        <v>23</v>
      </c>
      <c r="M138" s="3">
        <v>80</v>
      </c>
      <c r="N138" s="3">
        <v>79</v>
      </c>
      <c r="O138" s="3">
        <v>104</v>
      </c>
      <c r="P138" s="3">
        <v>46</v>
      </c>
      <c r="Q138" s="3">
        <v>4</v>
      </c>
      <c r="R138" s="3">
        <v>11</v>
      </c>
      <c r="S138" s="2">
        <f t="shared" si="6"/>
        <v>350</v>
      </c>
      <c r="T138" s="4">
        <f t="shared" si="7"/>
        <v>3833.6285714285714</v>
      </c>
    </row>
    <row r="139" spans="1:20" hidden="1" x14ac:dyDescent="0.3">
      <c r="A139">
        <v>353870905000177</v>
      </c>
      <c r="B139" t="s">
        <v>217</v>
      </c>
      <c r="C139" t="s">
        <v>62</v>
      </c>
      <c r="D139">
        <v>1</v>
      </c>
      <c r="E139">
        <v>0</v>
      </c>
      <c r="F139" s="1">
        <v>596379</v>
      </c>
      <c r="G139" s="1">
        <v>596379</v>
      </c>
      <c r="H139" s="1">
        <v>0</v>
      </c>
      <c r="I139" s="3">
        <v>1</v>
      </c>
      <c r="J139" s="3">
        <v>2</v>
      </c>
      <c r="K139" s="3">
        <v>6</v>
      </c>
      <c r="L139" s="3">
        <v>23</v>
      </c>
      <c r="M139" s="3">
        <v>49</v>
      </c>
      <c r="N139" s="3">
        <v>36</v>
      </c>
      <c r="O139" s="3">
        <v>19</v>
      </c>
      <c r="P139" s="3">
        <v>16</v>
      </c>
      <c r="Q139" s="3">
        <v>4</v>
      </c>
      <c r="R139" s="3">
        <v>0</v>
      </c>
      <c r="S139" s="2">
        <f t="shared" si="6"/>
        <v>156</v>
      </c>
      <c r="T139" s="4">
        <f t="shared" si="7"/>
        <v>3822.9423076923076</v>
      </c>
    </row>
    <row r="140" spans="1:20" hidden="1" x14ac:dyDescent="0.3">
      <c r="A140">
        <v>353870905000320</v>
      </c>
      <c r="B140" t="s">
        <v>217</v>
      </c>
      <c r="C140" t="s">
        <v>108</v>
      </c>
      <c r="D140">
        <v>1</v>
      </c>
      <c r="E140">
        <v>0</v>
      </c>
      <c r="F140" s="1">
        <v>1249834</v>
      </c>
      <c r="G140" s="1">
        <v>1249834</v>
      </c>
      <c r="H140" s="1">
        <v>0</v>
      </c>
      <c r="I140" s="3">
        <v>0</v>
      </c>
      <c r="J140" s="3">
        <v>1</v>
      </c>
      <c r="K140" s="3">
        <v>3</v>
      </c>
      <c r="L140" s="3">
        <v>38</v>
      </c>
      <c r="M140" s="3">
        <v>133</v>
      </c>
      <c r="N140" s="3">
        <v>82</v>
      </c>
      <c r="O140" s="3">
        <v>50</v>
      </c>
      <c r="P140" s="3">
        <v>18</v>
      </c>
      <c r="Q140" s="3">
        <v>1</v>
      </c>
      <c r="R140" s="3">
        <v>1</v>
      </c>
      <c r="S140" s="2">
        <f t="shared" si="6"/>
        <v>327</v>
      </c>
      <c r="T140" s="4">
        <f t="shared" si="7"/>
        <v>3822.1223241590214</v>
      </c>
    </row>
    <row r="141" spans="1:20" hidden="1" x14ac:dyDescent="0.3">
      <c r="A141">
        <v>353870905000184</v>
      </c>
      <c r="B141" t="s">
        <v>217</v>
      </c>
      <c r="C141" t="s">
        <v>62</v>
      </c>
      <c r="D141">
        <v>1</v>
      </c>
      <c r="E141">
        <v>0</v>
      </c>
      <c r="F141" s="1">
        <v>1038930</v>
      </c>
      <c r="G141" s="1">
        <v>1038930</v>
      </c>
      <c r="H141" s="1">
        <v>0</v>
      </c>
      <c r="I141" s="3">
        <v>0</v>
      </c>
      <c r="J141" s="3">
        <v>1</v>
      </c>
      <c r="K141" s="3">
        <v>8</v>
      </c>
      <c r="L141" s="3">
        <v>35</v>
      </c>
      <c r="M141" s="3">
        <v>91</v>
      </c>
      <c r="N141" s="3">
        <v>60</v>
      </c>
      <c r="O141" s="3">
        <v>60</v>
      </c>
      <c r="P141" s="3">
        <v>11</v>
      </c>
      <c r="Q141" s="3">
        <v>4</v>
      </c>
      <c r="R141" s="3">
        <v>2</v>
      </c>
      <c r="S141" s="2">
        <f t="shared" si="6"/>
        <v>272</v>
      </c>
      <c r="T141" s="4">
        <f t="shared" si="7"/>
        <v>3819.5955882352941</v>
      </c>
    </row>
    <row r="142" spans="1:20" hidden="1" x14ac:dyDescent="0.3">
      <c r="A142">
        <v>353870905000574</v>
      </c>
      <c r="B142" t="s">
        <v>217</v>
      </c>
      <c r="C142" t="s">
        <v>65</v>
      </c>
      <c r="D142">
        <v>1</v>
      </c>
      <c r="E142">
        <v>0</v>
      </c>
      <c r="F142" s="1">
        <v>471102</v>
      </c>
      <c r="G142" s="1">
        <v>471102</v>
      </c>
      <c r="H142" s="1">
        <v>0</v>
      </c>
      <c r="I142" s="3">
        <v>1</v>
      </c>
      <c r="J142" s="3">
        <v>1</v>
      </c>
      <c r="K142" s="3">
        <v>2</v>
      </c>
      <c r="L142" s="3">
        <v>20</v>
      </c>
      <c r="M142" s="3">
        <v>31</v>
      </c>
      <c r="N142" s="3">
        <v>22</v>
      </c>
      <c r="O142" s="3">
        <v>27</v>
      </c>
      <c r="P142" s="3">
        <v>15</v>
      </c>
      <c r="Q142" s="3">
        <v>3</v>
      </c>
      <c r="R142" s="3">
        <v>3</v>
      </c>
      <c r="S142" s="2">
        <f t="shared" si="6"/>
        <v>125</v>
      </c>
      <c r="T142" s="4">
        <f t="shared" si="7"/>
        <v>3768.8159999999998</v>
      </c>
    </row>
    <row r="143" spans="1:20" hidden="1" x14ac:dyDescent="0.3">
      <c r="A143">
        <v>353870905000044</v>
      </c>
      <c r="B143" t="s">
        <v>217</v>
      </c>
      <c r="C143" t="s">
        <v>45</v>
      </c>
      <c r="D143">
        <v>1</v>
      </c>
      <c r="E143">
        <v>0</v>
      </c>
      <c r="F143" s="1">
        <v>646373</v>
      </c>
      <c r="G143" s="1">
        <v>646373</v>
      </c>
      <c r="H143" s="1">
        <v>0</v>
      </c>
      <c r="I143" s="3">
        <v>0</v>
      </c>
      <c r="J143" s="3">
        <v>1</v>
      </c>
      <c r="K143" s="3">
        <v>2</v>
      </c>
      <c r="L143" s="3">
        <v>11</v>
      </c>
      <c r="M143" s="3">
        <v>50</v>
      </c>
      <c r="N143" s="3">
        <v>31</v>
      </c>
      <c r="O143" s="3">
        <v>49</v>
      </c>
      <c r="P143" s="3">
        <v>24</v>
      </c>
      <c r="Q143" s="3">
        <v>4</v>
      </c>
      <c r="R143" s="3">
        <v>0</v>
      </c>
      <c r="S143" s="2">
        <f t="shared" si="6"/>
        <v>172</v>
      </c>
      <c r="T143" s="4">
        <f t="shared" si="7"/>
        <v>3757.9825581395348</v>
      </c>
    </row>
    <row r="144" spans="1:20" hidden="1" x14ac:dyDescent="0.3">
      <c r="A144">
        <v>353870905000076</v>
      </c>
      <c r="B144" t="s">
        <v>217</v>
      </c>
      <c r="C144" t="s">
        <v>167</v>
      </c>
      <c r="D144">
        <v>1</v>
      </c>
      <c r="E144">
        <v>0</v>
      </c>
      <c r="F144" s="1">
        <v>351358</v>
      </c>
      <c r="G144" s="1">
        <v>351358</v>
      </c>
      <c r="H144" s="1">
        <v>0</v>
      </c>
      <c r="I144" s="3">
        <v>0</v>
      </c>
      <c r="J144" s="3">
        <v>0</v>
      </c>
      <c r="K144" s="3">
        <v>0</v>
      </c>
      <c r="L144" s="3">
        <v>9</v>
      </c>
      <c r="M144" s="3">
        <v>30</v>
      </c>
      <c r="N144" s="3">
        <v>21</v>
      </c>
      <c r="O144" s="3">
        <v>20</v>
      </c>
      <c r="P144" s="3">
        <v>13</v>
      </c>
      <c r="Q144" s="3">
        <v>1</v>
      </c>
      <c r="R144" s="3">
        <v>0</v>
      </c>
      <c r="S144" s="2">
        <f t="shared" si="6"/>
        <v>94</v>
      </c>
      <c r="T144" s="4">
        <f t="shared" si="7"/>
        <v>3737.8510638297871</v>
      </c>
    </row>
    <row r="145" spans="1:20" hidden="1" x14ac:dyDescent="0.3">
      <c r="A145">
        <v>353870905000517</v>
      </c>
      <c r="B145" t="s">
        <v>217</v>
      </c>
      <c r="C145" t="s">
        <v>219</v>
      </c>
      <c r="D145">
        <v>1</v>
      </c>
      <c r="E145">
        <v>0</v>
      </c>
      <c r="F145" s="1">
        <v>933834</v>
      </c>
      <c r="G145" s="1">
        <v>933834</v>
      </c>
      <c r="H145" s="1">
        <v>0</v>
      </c>
      <c r="I145" s="3">
        <v>1</v>
      </c>
      <c r="J145" s="3">
        <v>0</v>
      </c>
      <c r="K145" s="3">
        <v>8</v>
      </c>
      <c r="L145" s="3">
        <v>35</v>
      </c>
      <c r="M145" s="3">
        <v>83</v>
      </c>
      <c r="N145" s="3">
        <v>69</v>
      </c>
      <c r="O145" s="3">
        <v>39</v>
      </c>
      <c r="P145" s="3">
        <v>12</v>
      </c>
      <c r="Q145" s="3">
        <v>4</v>
      </c>
      <c r="R145" s="3">
        <v>1</v>
      </c>
      <c r="S145" s="2">
        <f t="shared" si="6"/>
        <v>252</v>
      </c>
      <c r="T145" s="4">
        <f t="shared" si="7"/>
        <v>3705.6904761904761</v>
      </c>
    </row>
    <row r="146" spans="1:20" hidden="1" x14ac:dyDescent="0.3">
      <c r="A146">
        <v>353870905000149</v>
      </c>
      <c r="B146" t="s">
        <v>217</v>
      </c>
      <c r="C146" t="s">
        <v>31</v>
      </c>
      <c r="D146">
        <v>1</v>
      </c>
      <c r="E146">
        <v>0</v>
      </c>
      <c r="F146" s="1">
        <v>1175147</v>
      </c>
      <c r="G146" s="1">
        <v>1175147</v>
      </c>
      <c r="H146" s="1">
        <v>0</v>
      </c>
      <c r="I146" s="3">
        <v>0</v>
      </c>
      <c r="J146" s="3">
        <v>0</v>
      </c>
      <c r="K146" s="3">
        <v>2</v>
      </c>
      <c r="L146" s="3">
        <v>21</v>
      </c>
      <c r="M146" s="3">
        <v>74</v>
      </c>
      <c r="N146" s="3">
        <v>73</v>
      </c>
      <c r="O146" s="3">
        <v>77</v>
      </c>
      <c r="P146" s="3">
        <v>62</v>
      </c>
      <c r="Q146" s="3">
        <v>7</v>
      </c>
      <c r="R146" s="3">
        <v>4</v>
      </c>
      <c r="S146" s="2">
        <f t="shared" si="6"/>
        <v>320</v>
      </c>
      <c r="T146" s="4">
        <f t="shared" si="7"/>
        <v>3672.3343749999999</v>
      </c>
    </row>
    <row r="147" spans="1:20" hidden="1" x14ac:dyDescent="0.3">
      <c r="A147">
        <v>353870905000081</v>
      </c>
      <c r="B147" t="s">
        <v>217</v>
      </c>
      <c r="C147" t="s">
        <v>51</v>
      </c>
      <c r="D147">
        <v>1</v>
      </c>
      <c r="E147">
        <v>1</v>
      </c>
      <c r="F147" s="1">
        <v>606820</v>
      </c>
      <c r="G147" s="1">
        <v>601820</v>
      </c>
      <c r="H147" s="1">
        <v>5000</v>
      </c>
      <c r="I147" s="3">
        <v>0</v>
      </c>
      <c r="J147" s="3">
        <v>0</v>
      </c>
      <c r="K147" s="3">
        <v>5</v>
      </c>
      <c r="L147" s="3">
        <v>23</v>
      </c>
      <c r="M147" s="3">
        <v>44</v>
      </c>
      <c r="N147" s="3">
        <v>30</v>
      </c>
      <c r="O147" s="3">
        <v>31</v>
      </c>
      <c r="P147" s="3">
        <v>25</v>
      </c>
      <c r="Q147" s="3">
        <v>6</v>
      </c>
      <c r="R147" s="3">
        <v>3</v>
      </c>
      <c r="S147" s="2">
        <f t="shared" si="6"/>
        <v>167</v>
      </c>
      <c r="T147" s="4">
        <f t="shared" si="7"/>
        <v>3633.6526946107783</v>
      </c>
    </row>
    <row r="148" spans="1:20" hidden="1" x14ac:dyDescent="0.3">
      <c r="A148">
        <v>353870905000019</v>
      </c>
      <c r="B148" t="s">
        <v>217</v>
      </c>
      <c r="C148" t="s">
        <v>45</v>
      </c>
      <c r="D148">
        <v>1</v>
      </c>
      <c r="E148">
        <v>0</v>
      </c>
      <c r="F148" s="1">
        <v>682720</v>
      </c>
      <c r="G148" s="1">
        <v>682720</v>
      </c>
      <c r="H148" s="1">
        <v>0</v>
      </c>
      <c r="I148" s="3">
        <v>1</v>
      </c>
      <c r="J148" s="3">
        <v>1</v>
      </c>
      <c r="K148" s="3">
        <v>9</v>
      </c>
      <c r="L148" s="3">
        <v>27</v>
      </c>
      <c r="M148" s="3">
        <v>49</v>
      </c>
      <c r="N148" s="3">
        <v>28</v>
      </c>
      <c r="O148" s="3">
        <v>32</v>
      </c>
      <c r="P148" s="3">
        <v>21</v>
      </c>
      <c r="Q148" s="3">
        <v>9</v>
      </c>
      <c r="R148" s="3">
        <v>11</v>
      </c>
      <c r="S148" s="2">
        <f t="shared" si="6"/>
        <v>188</v>
      </c>
      <c r="T148" s="4">
        <f t="shared" si="7"/>
        <v>3631.4893617021276</v>
      </c>
    </row>
    <row r="149" spans="1:20" hidden="1" x14ac:dyDescent="0.3">
      <c r="A149">
        <v>353870905000549</v>
      </c>
      <c r="B149" t="s">
        <v>217</v>
      </c>
      <c r="C149" t="s">
        <v>218</v>
      </c>
      <c r="D149">
        <v>8</v>
      </c>
      <c r="E149">
        <v>0</v>
      </c>
      <c r="F149" s="1">
        <v>83437</v>
      </c>
      <c r="G149" s="1">
        <v>83437</v>
      </c>
      <c r="H149" s="1">
        <v>0</v>
      </c>
      <c r="I149" s="3">
        <v>1</v>
      </c>
      <c r="J149" s="3">
        <v>1</v>
      </c>
      <c r="K149" s="3">
        <v>2</v>
      </c>
      <c r="L149" s="3">
        <v>7</v>
      </c>
      <c r="M149" s="3">
        <v>4</v>
      </c>
      <c r="N149" s="3">
        <v>2</v>
      </c>
      <c r="O149" s="3">
        <v>4</v>
      </c>
      <c r="P149" s="3">
        <v>1</v>
      </c>
      <c r="Q149" s="3">
        <v>1</v>
      </c>
      <c r="R149" s="3">
        <v>0</v>
      </c>
      <c r="S149" s="2">
        <f t="shared" si="6"/>
        <v>23</v>
      </c>
      <c r="T149" s="4">
        <f t="shared" si="7"/>
        <v>3627.695652173913</v>
      </c>
    </row>
    <row r="150" spans="1:20" hidden="1" x14ac:dyDescent="0.3">
      <c r="A150">
        <v>353870905000308</v>
      </c>
      <c r="B150" t="s">
        <v>217</v>
      </c>
      <c r="C150" t="s">
        <v>79</v>
      </c>
      <c r="D150">
        <v>1</v>
      </c>
      <c r="E150">
        <v>0</v>
      </c>
      <c r="F150" s="1">
        <v>1884701</v>
      </c>
      <c r="G150" s="1">
        <v>1884701</v>
      </c>
      <c r="H150" s="1">
        <v>0</v>
      </c>
      <c r="I150" s="3">
        <v>1</v>
      </c>
      <c r="J150" s="3">
        <v>4</v>
      </c>
      <c r="K150" s="3">
        <v>25</v>
      </c>
      <c r="L150" s="3">
        <v>104</v>
      </c>
      <c r="M150" s="3">
        <v>201</v>
      </c>
      <c r="N150" s="3">
        <v>80</v>
      </c>
      <c r="O150" s="3">
        <v>57</v>
      </c>
      <c r="P150" s="3">
        <v>37</v>
      </c>
      <c r="Q150" s="3">
        <v>5</v>
      </c>
      <c r="R150" s="3">
        <v>6</v>
      </c>
      <c r="S150" s="2">
        <f t="shared" si="6"/>
        <v>520</v>
      </c>
      <c r="T150" s="4">
        <f t="shared" si="7"/>
        <v>3624.4250000000002</v>
      </c>
    </row>
    <row r="151" spans="1:20" hidden="1" x14ac:dyDescent="0.3">
      <c r="A151">
        <v>353870905000030</v>
      </c>
      <c r="B151" t="s">
        <v>217</v>
      </c>
      <c r="C151" t="s">
        <v>28</v>
      </c>
      <c r="D151">
        <v>1</v>
      </c>
      <c r="E151">
        <v>0</v>
      </c>
      <c r="F151" s="1">
        <v>467281</v>
      </c>
      <c r="G151" s="1">
        <v>467281</v>
      </c>
      <c r="H151" s="1">
        <v>0</v>
      </c>
      <c r="I151" s="3">
        <v>0</v>
      </c>
      <c r="J151" s="3">
        <v>1</v>
      </c>
      <c r="K151" s="3">
        <v>5</v>
      </c>
      <c r="L151" s="3">
        <v>14</v>
      </c>
      <c r="M151" s="3">
        <v>17</v>
      </c>
      <c r="N151" s="3">
        <v>12</v>
      </c>
      <c r="O151" s="3">
        <v>25</v>
      </c>
      <c r="P151" s="3">
        <v>15</v>
      </c>
      <c r="Q151" s="3">
        <v>10</v>
      </c>
      <c r="R151" s="3">
        <v>30</v>
      </c>
      <c r="S151" s="2">
        <f t="shared" si="6"/>
        <v>129</v>
      </c>
      <c r="T151" s="4">
        <f t="shared" si="7"/>
        <v>3622.3333333333335</v>
      </c>
    </row>
    <row r="152" spans="1:20" hidden="1" x14ac:dyDescent="0.3">
      <c r="A152">
        <v>353870905000134</v>
      </c>
      <c r="B152" t="s">
        <v>217</v>
      </c>
      <c r="C152" t="s">
        <v>71</v>
      </c>
      <c r="D152">
        <v>1</v>
      </c>
      <c r="E152">
        <v>0</v>
      </c>
      <c r="F152" s="1">
        <v>972352</v>
      </c>
      <c r="G152" s="1">
        <v>972352</v>
      </c>
      <c r="H152" s="1">
        <v>0</v>
      </c>
      <c r="I152" s="3">
        <v>0</v>
      </c>
      <c r="J152" s="3">
        <v>2</v>
      </c>
      <c r="K152" s="3">
        <v>6</v>
      </c>
      <c r="L152" s="3">
        <v>39</v>
      </c>
      <c r="M152" s="3">
        <v>87</v>
      </c>
      <c r="N152" s="3">
        <v>52</v>
      </c>
      <c r="O152" s="3">
        <v>38</v>
      </c>
      <c r="P152" s="3">
        <v>39</v>
      </c>
      <c r="Q152" s="3">
        <v>4</v>
      </c>
      <c r="R152" s="3">
        <v>2</v>
      </c>
      <c r="S152" s="2">
        <f t="shared" si="6"/>
        <v>269</v>
      </c>
      <c r="T152" s="4">
        <f t="shared" si="7"/>
        <v>3614.6914498141264</v>
      </c>
    </row>
    <row r="153" spans="1:20" hidden="1" x14ac:dyDescent="0.3">
      <c r="A153">
        <v>353870905000226</v>
      </c>
      <c r="B153" t="s">
        <v>217</v>
      </c>
      <c r="C153" t="s">
        <v>48</v>
      </c>
      <c r="D153">
        <v>1</v>
      </c>
      <c r="E153">
        <v>0</v>
      </c>
      <c r="F153" s="1">
        <v>780853</v>
      </c>
      <c r="G153" s="1">
        <v>780853</v>
      </c>
      <c r="H153" s="1">
        <v>0</v>
      </c>
      <c r="I153" s="3">
        <v>0</v>
      </c>
      <c r="J153" s="3">
        <v>0</v>
      </c>
      <c r="K153" s="3">
        <v>5</v>
      </c>
      <c r="L153" s="3">
        <v>24</v>
      </c>
      <c r="M153" s="3">
        <v>82</v>
      </c>
      <c r="N153" s="3">
        <v>55</v>
      </c>
      <c r="O153" s="3">
        <v>34</v>
      </c>
      <c r="P153" s="3">
        <v>12</v>
      </c>
      <c r="Q153" s="3">
        <v>4</v>
      </c>
      <c r="R153" s="3">
        <v>1</v>
      </c>
      <c r="S153" s="2">
        <f t="shared" si="6"/>
        <v>217</v>
      </c>
      <c r="T153" s="4">
        <f t="shared" si="7"/>
        <v>3598.4009216589861</v>
      </c>
    </row>
    <row r="154" spans="1:20" hidden="1" x14ac:dyDescent="0.3">
      <c r="A154">
        <v>353870905000580</v>
      </c>
      <c r="B154" t="s">
        <v>217</v>
      </c>
      <c r="C154" t="s">
        <v>45</v>
      </c>
      <c r="D154">
        <v>1</v>
      </c>
      <c r="E154">
        <v>0</v>
      </c>
      <c r="F154" s="1">
        <v>229970</v>
      </c>
      <c r="G154" s="1">
        <v>229970</v>
      </c>
      <c r="H154" s="1">
        <v>0</v>
      </c>
      <c r="I154" s="3">
        <v>0</v>
      </c>
      <c r="J154" s="3">
        <v>0</v>
      </c>
      <c r="K154" s="3">
        <v>4</v>
      </c>
      <c r="L154" s="3">
        <v>7</v>
      </c>
      <c r="M154" s="3">
        <v>18</v>
      </c>
      <c r="N154" s="3">
        <v>17</v>
      </c>
      <c r="O154" s="3">
        <v>11</v>
      </c>
      <c r="P154" s="3">
        <v>3</v>
      </c>
      <c r="Q154" s="3">
        <v>1</v>
      </c>
      <c r="R154" s="3">
        <v>3</v>
      </c>
      <c r="S154" s="2">
        <f t="shared" si="6"/>
        <v>64</v>
      </c>
      <c r="T154" s="4">
        <f t="shared" si="7"/>
        <v>3593.28125</v>
      </c>
    </row>
    <row r="155" spans="1:20" hidden="1" x14ac:dyDescent="0.3">
      <c r="A155">
        <v>353870905000458</v>
      </c>
      <c r="B155" t="s">
        <v>217</v>
      </c>
      <c r="C155" t="s">
        <v>22</v>
      </c>
      <c r="D155">
        <v>1</v>
      </c>
      <c r="E155">
        <v>0</v>
      </c>
      <c r="F155" s="1">
        <v>46449</v>
      </c>
      <c r="G155" s="1">
        <v>46449</v>
      </c>
      <c r="H155" s="1">
        <v>0</v>
      </c>
      <c r="I155" s="3">
        <v>0</v>
      </c>
      <c r="J155" s="3">
        <v>0</v>
      </c>
      <c r="K155" s="3">
        <v>0</v>
      </c>
      <c r="L155" s="3">
        <v>5</v>
      </c>
      <c r="M155" s="3">
        <v>1</v>
      </c>
      <c r="N155" s="3">
        <v>3</v>
      </c>
      <c r="O155" s="3">
        <v>2</v>
      </c>
      <c r="P155" s="3">
        <v>2</v>
      </c>
      <c r="Q155" s="3">
        <v>0</v>
      </c>
      <c r="R155" s="3">
        <v>0</v>
      </c>
      <c r="S155" s="2">
        <f t="shared" si="6"/>
        <v>13</v>
      </c>
      <c r="T155" s="4">
        <f t="shared" si="7"/>
        <v>3573</v>
      </c>
    </row>
    <row r="156" spans="1:20" hidden="1" x14ac:dyDescent="0.3">
      <c r="A156">
        <v>353870905000093</v>
      </c>
      <c r="B156" t="s">
        <v>217</v>
      </c>
      <c r="C156" t="s">
        <v>28</v>
      </c>
      <c r="D156">
        <v>1</v>
      </c>
      <c r="E156">
        <v>0</v>
      </c>
      <c r="F156" s="1">
        <v>439898</v>
      </c>
      <c r="G156" s="1">
        <v>439898</v>
      </c>
      <c r="H156" s="1">
        <v>0</v>
      </c>
      <c r="I156" s="3">
        <v>0</v>
      </c>
      <c r="J156" s="3">
        <v>0</v>
      </c>
      <c r="K156" s="3">
        <v>4</v>
      </c>
      <c r="L156" s="3">
        <v>14</v>
      </c>
      <c r="M156" s="3">
        <v>19</v>
      </c>
      <c r="N156" s="3">
        <v>8</v>
      </c>
      <c r="O156" s="3">
        <v>19</v>
      </c>
      <c r="P156" s="3">
        <v>16</v>
      </c>
      <c r="Q156" s="3">
        <v>3</v>
      </c>
      <c r="R156" s="3">
        <v>42</v>
      </c>
      <c r="S156" s="2">
        <f t="shared" si="6"/>
        <v>125</v>
      </c>
      <c r="T156" s="4">
        <f t="shared" si="7"/>
        <v>3519.1840000000002</v>
      </c>
    </row>
    <row r="157" spans="1:20" hidden="1" x14ac:dyDescent="0.3">
      <c r="A157">
        <v>353870905000112</v>
      </c>
      <c r="B157" t="s">
        <v>217</v>
      </c>
      <c r="C157" t="s">
        <v>140</v>
      </c>
      <c r="D157">
        <v>1</v>
      </c>
      <c r="E157">
        <v>0</v>
      </c>
      <c r="F157" s="1">
        <v>660259</v>
      </c>
      <c r="G157" s="1">
        <v>660259</v>
      </c>
      <c r="H157" s="1">
        <v>0</v>
      </c>
      <c r="I157" s="3">
        <v>0</v>
      </c>
      <c r="J157" s="3">
        <v>1</v>
      </c>
      <c r="K157" s="3">
        <v>5</v>
      </c>
      <c r="L157" s="3">
        <v>38</v>
      </c>
      <c r="M157" s="3">
        <v>59</v>
      </c>
      <c r="N157" s="3">
        <v>40</v>
      </c>
      <c r="O157" s="3">
        <v>26</v>
      </c>
      <c r="P157" s="3">
        <v>14</v>
      </c>
      <c r="Q157" s="3">
        <v>5</v>
      </c>
      <c r="R157" s="3">
        <v>0</v>
      </c>
      <c r="S157" s="2">
        <f t="shared" si="6"/>
        <v>188</v>
      </c>
      <c r="T157" s="4">
        <f t="shared" si="7"/>
        <v>3512.0159574468084</v>
      </c>
    </row>
    <row r="158" spans="1:20" hidden="1" x14ac:dyDescent="0.3">
      <c r="A158">
        <v>353870905000243</v>
      </c>
      <c r="B158" t="s">
        <v>217</v>
      </c>
      <c r="C158" t="s">
        <v>219</v>
      </c>
      <c r="D158">
        <v>1</v>
      </c>
      <c r="E158">
        <v>0</v>
      </c>
      <c r="F158" s="1">
        <v>972445</v>
      </c>
      <c r="G158" s="1">
        <v>972445</v>
      </c>
      <c r="H158" s="1">
        <v>0</v>
      </c>
      <c r="I158" s="3">
        <v>0</v>
      </c>
      <c r="J158" s="3">
        <v>2</v>
      </c>
      <c r="K158" s="3">
        <v>5</v>
      </c>
      <c r="L158" s="3">
        <v>32</v>
      </c>
      <c r="M158" s="3">
        <v>97</v>
      </c>
      <c r="N158" s="3">
        <v>57</v>
      </c>
      <c r="O158" s="3">
        <v>49</v>
      </c>
      <c r="P158" s="3">
        <v>25</v>
      </c>
      <c r="Q158" s="3">
        <v>7</v>
      </c>
      <c r="R158" s="3">
        <v>3</v>
      </c>
      <c r="S158" s="2">
        <f t="shared" si="6"/>
        <v>277</v>
      </c>
      <c r="T158" s="4">
        <f t="shared" si="7"/>
        <v>3510.6317689530688</v>
      </c>
    </row>
    <row r="159" spans="1:20" hidden="1" x14ac:dyDescent="0.3">
      <c r="A159">
        <v>353870905000101</v>
      </c>
      <c r="B159" t="s">
        <v>217</v>
      </c>
      <c r="C159" t="s">
        <v>220</v>
      </c>
      <c r="D159">
        <v>1</v>
      </c>
      <c r="E159">
        <v>0</v>
      </c>
      <c r="F159" s="1">
        <v>596476</v>
      </c>
      <c r="G159" s="1">
        <v>596476</v>
      </c>
      <c r="H159" s="1">
        <v>0</v>
      </c>
      <c r="I159" s="3">
        <v>0</v>
      </c>
      <c r="J159" s="3">
        <v>0</v>
      </c>
      <c r="K159" s="3">
        <v>5</v>
      </c>
      <c r="L159" s="3">
        <v>35</v>
      </c>
      <c r="M159" s="3">
        <v>56</v>
      </c>
      <c r="N159" s="3">
        <v>26</v>
      </c>
      <c r="O159" s="3">
        <v>27</v>
      </c>
      <c r="P159" s="3">
        <v>8</v>
      </c>
      <c r="Q159" s="3">
        <v>6</v>
      </c>
      <c r="R159" s="3">
        <v>7</v>
      </c>
      <c r="S159" s="2">
        <f t="shared" si="6"/>
        <v>170</v>
      </c>
      <c r="T159" s="4">
        <f t="shared" si="7"/>
        <v>3508.6823529411763</v>
      </c>
    </row>
    <row r="160" spans="1:20" hidden="1" x14ac:dyDescent="0.3">
      <c r="A160">
        <v>353870905000376</v>
      </c>
      <c r="B160" t="s">
        <v>217</v>
      </c>
      <c r="C160" t="s">
        <v>185</v>
      </c>
      <c r="D160">
        <v>1</v>
      </c>
      <c r="E160">
        <v>0</v>
      </c>
      <c r="F160" s="1">
        <v>609550</v>
      </c>
      <c r="G160" s="1">
        <v>609550</v>
      </c>
      <c r="H160" s="1">
        <v>0</v>
      </c>
      <c r="I160" s="3">
        <v>0</v>
      </c>
      <c r="J160" s="3">
        <v>2</v>
      </c>
      <c r="K160" s="3">
        <v>6</v>
      </c>
      <c r="L160" s="3">
        <v>27</v>
      </c>
      <c r="M160" s="3">
        <v>61</v>
      </c>
      <c r="N160" s="3">
        <v>32</v>
      </c>
      <c r="O160" s="3">
        <v>28</v>
      </c>
      <c r="P160" s="3">
        <v>10</v>
      </c>
      <c r="Q160" s="3">
        <v>4</v>
      </c>
      <c r="R160" s="3">
        <v>4</v>
      </c>
      <c r="S160" s="2">
        <f t="shared" si="6"/>
        <v>174</v>
      </c>
      <c r="T160" s="4">
        <f t="shared" si="7"/>
        <v>3503.1609195402298</v>
      </c>
    </row>
    <row r="161" spans="1:20" hidden="1" x14ac:dyDescent="0.3">
      <c r="A161">
        <v>353870905000480</v>
      </c>
      <c r="B161" t="s">
        <v>217</v>
      </c>
      <c r="C161" t="s">
        <v>127</v>
      </c>
      <c r="D161">
        <v>1</v>
      </c>
      <c r="E161">
        <v>0</v>
      </c>
      <c r="F161" s="1">
        <v>83640</v>
      </c>
      <c r="G161" s="1">
        <v>83640</v>
      </c>
      <c r="H161" s="1">
        <v>0</v>
      </c>
      <c r="I161" s="3">
        <v>0</v>
      </c>
      <c r="J161" s="3">
        <v>0</v>
      </c>
      <c r="K161" s="3">
        <v>1</v>
      </c>
      <c r="L161" s="3">
        <v>3</v>
      </c>
      <c r="M161" s="3">
        <v>13</v>
      </c>
      <c r="N161" s="3">
        <v>2</v>
      </c>
      <c r="O161" s="3">
        <v>2</v>
      </c>
      <c r="P161" s="3">
        <v>1</v>
      </c>
      <c r="Q161" s="3">
        <v>1</v>
      </c>
      <c r="R161" s="3">
        <v>1</v>
      </c>
      <c r="S161" s="2">
        <f t="shared" si="6"/>
        <v>24</v>
      </c>
      <c r="T161" s="4">
        <f t="shared" si="7"/>
        <v>3485</v>
      </c>
    </row>
    <row r="162" spans="1:20" hidden="1" x14ac:dyDescent="0.3">
      <c r="A162">
        <v>353870905000036</v>
      </c>
      <c r="B162" t="s">
        <v>217</v>
      </c>
      <c r="C162" t="s">
        <v>28</v>
      </c>
      <c r="D162">
        <v>1</v>
      </c>
      <c r="E162">
        <v>0</v>
      </c>
      <c r="F162" s="1">
        <v>414310</v>
      </c>
      <c r="G162" s="1">
        <v>414310</v>
      </c>
      <c r="H162" s="1">
        <v>0</v>
      </c>
      <c r="I162" s="3">
        <v>0</v>
      </c>
      <c r="J162" s="3">
        <v>1</v>
      </c>
      <c r="K162" s="3">
        <v>6</v>
      </c>
      <c r="L162" s="3">
        <v>18</v>
      </c>
      <c r="M162" s="3">
        <v>42</v>
      </c>
      <c r="N162" s="3">
        <v>22</v>
      </c>
      <c r="O162" s="3">
        <v>12</v>
      </c>
      <c r="P162" s="3">
        <v>10</v>
      </c>
      <c r="Q162" s="3">
        <v>5</v>
      </c>
      <c r="R162" s="3">
        <v>3</v>
      </c>
      <c r="S162" s="2">
        <f t="shared" si="6"/>
        <v>119</v>
      </c>
      <c r="T162" s="4">
        <f t="shared" si="7"/>
        <v>3481.5966386554624</v>
      </c>
    </row>
    <row r="163" spans="1:20" hidden="1" x14ac:dyDescent="0.3">
      <c r="A163">
        <v>353870905000239</v>
      </c>
      <c r="B163" t="s">
        <v>217</v>
      </c>
      <c r="C163" t="s">
        <v>54</v>
      </c>
      <c r="D163">
        <v>1</v>
      </c>
      <c r="E163">
        <v>0</v>
      </c>
      <c r="F163" s="1">
        <v>658392</v>
      </c>
      <c r="G163" s="1">
        <v>658392</v>
      </c>
      <c r="H163" s="1">
        <v>0</v>
      </c>
      <c r="I163" s="3">
        <v>0</v>
      </c>
      <c r="J163" s="3">
        <v>1</v>
      </c>
      <c r="K163" s="3">
        <v>4</v>
      </c>
      <c r="L163" s="3">
        <v>26</v>
      </c>
      <c r="M163" s="3">
        <v>72</v>
      </c>
      <c r="N163" s="3">
        <v>34</v>
      </c>
      <c r="O163" s="3">
        <v>29</v>
      </c>
      <c r="P163" s="3">
        <v>24</v>
      </c>
      <c r="Q163" s="3">
        <v>2</v>
      </c>
      <c r="R163" s="3">
        <v>3</v>
      </c>
      <c r="S163" s="2">
        <f t="shared" si="6"/>
        <v>195</v>
      </c>
      <c r="T163" s="4">
        <f t="shared" si="7"/>
        <v>3376.3692307692309</v>
      </c>
    </row>
    <row r="164" spans="1:20" hidden="1" x14ac:dyDescent="0.3">
      <c r="A164">
        <v>353870905000453</v>
      </c>
      <c r="B164" t="s">
        <v>217</v>
      </c>
      <c r="C164" t="s">
        <v>220</v>
      </c>
      <c r="D164">
        <v>1</v>
      </c>
      <c r="E164">
        <v>0</v>
      </c>
      <c r="F164" s="1">
        <v>87650</v>
      </c>
      <c r="G164" s="1">
        <v>87650</v>
      </c>
      <c r="H164" s="1">
        <v>0</v>
      </c>
      <c r="I164" s="3">
        <v>0</v>
      </c>
      <c r="J164" s="3">
        <v>0</v>
      </c>
      <c r="K164" s="3">
        <v>0</v>
      </c>
      <c r="L164" s="3">
        <v>6</v>
      </c>
      <c r="M164" s="3">
        <v>8</v>
      </c>
      <c r="N164" s="3">
        <v>4</v>
      </c>
      <c r="O164" s="3">
        <v>5</v>
      </c>
      <c r="P164" s="3">
        <v>3</v>
      </c>
      <c r="Q164" s="3">
        <v>0</v>
      </c>
      <c r="R164" s="3">
        <v>0</v>
      </c>
      <c r="S164" s="2">
        <f t="shared" si="6"/>
        <v>26</v>
      </c>
      <c r="T164" s="4">
        <f t="shared" si="7"/>
        <v>3371.1538461538462</v>
      </c>
    </row>
    <row r="165" spans="1:20" hidden="1" x14ac:dyDescent="0.3">
      <c r="A165">
        <v>353870905000302</v>
      </c>
      <c r="B165" t="s">
        <v>217</v>
      </c>
      <c r="C165" t="s">
        <v>222</v>
      </c>
      <c r="D165">
        <v>2</v>
      </c>
      <c r="E165">
        <v>0</v>
      </c>
      <c r="F165" s="1">
        <v>43820</v>
      </c>
      <c r="G165" s="1">
        <v>43820</v>
      </c>
      <c r="H165" s="1">
        <v>0</v>
      </c>
      <c r="I165" s="3">
        <v>0</v>
      </c>
      <c r="J165" s="3">
        <v>0</v>
      </c>
      <c r="K165" s="3">
        <v>0</v>
      </c>
      <c r="L165" s="3">
        <v>3</v>
      </c>
      <c r="M165" s="3">
        <v>7</v>
      </c>
      <c r="N165" s="3">
        <v>1</v>
      </c>
      <c r="O165" s="3">
        <v>1</v>
      </c>
      <c r="P165" s="3">
        <v>1</v>
      </c>
      <c r="Q165" s="3">
        <v>0</v>
      </c>
      <c r="R165" s="3">
        <v>0</v>
      </c>
      <c r="S165" s="2">
        <f t="shared" si="6"/>
        <v>13</v>
      </c>
      <c r="T165" s="4">
        <f t="shared" si="7"/>
        <v>3370.7692307692309</v>
      </c>
    </row>
    <row r="166" spans="1:20" hidden="1" x14ac:dyDescent="0.3">
      <c r="A166">
        <v>353870905000025</v>
      </c>
      <c r="B166" t="s">
        <v>217</v>
      </c>
      <c r="C166" t="s">
        <v>28</v>
      </c>
      <c r="D166">
        <v>1</v>
      </c>
      <c r="E166">
        <v>0</v>
      </c>
      <c r="F166" s="1">
        <v>406045</v>
      </c>
      <c r="G166" s="1">
        <v>406045</v>
      </c>
      <c r="H166" s="1">
        <v>0</v>
      </c>
      <c r="I166" s="3">
        <v>0</v>
      </c>
      <c r="J166" s="3">
        <v>0</v>
      </c>
      <c r="K166" s="3">
        <v>8</v>
      </c>
      <c r="L166" s="3">
        <v>17</v>
      </c>
      <c r="M166" s="3">
        <v>21</v>
      </c>
      <c r="N166" s="3">
        <v>9</v>
      </c>
      <c r="O166" s="3">
        <v>12</v>
      </c>
      <c r="P166" s="3">
        <v>13</v>
      </c>
      <c r="Q166" s="3">
        <v>10</v>
      </c>
      <c r="R166" s="3">
        <v>31</v>
      </c>
      <c r="S166" s="2">
        <f t="shared" si="6"/>
        <v>121</v>
      </c>
      <c r="T166" s="4">
        <f t="shared" si="7"/>
        <v>3355.7438016528927</v>
      </c>
    </row>
    <row r="167" spans="1:20" hidden="1" x14ac:dyDescent="0.3">
      <c r="A167">
        <v>353870905000279</v>
      </c>
      <c r="B167" t="s">
        <v>217</v>
      </c>
      <c r="C167" t="s">
        <v>77</v>
      </c>
      <c r="D167">
        <v>1</v>
      </c>
      <c r="E167">
        <v>0</v>
      </c>
      <c r="F167" s="1">
        <v>67007</v>
      </c>
      <c r="G167" s="1">
        <v>67007</v>
      </c>
      <c r="H167" s="1">
        <v>0</v>
      </c>
      <c r="I167" s="3">
        <v>0</v>
      </c>
      <c r="J167" s="3">
        <v>0</v>
      </c>
      <c r="K167" s="3">
        <v>0</v>
      </c>
      <c r="L167" s="3">
        <v>3</v>
      </c>
      <c r="M167" s="3">
        <v>11</v>
      </c>
      <c r="N167" s="3">
        <v>4</v>
      </c>
      <c r="O167" s="3">
        <v>2</v>
      </c>
      <c r="P167" s="3">
        <v>0</v>
      </c>
      <c r="Q167" s="3">
        <v>0</v>
      </c>
      <c r="R167" s="3">
        <v>0</v>
      </c>
      <c r="S167" s="2">
        <f t="shared" si="6"/>
        <v>20</v>
      </c>
      <c r="T167" s="4">
        <f t="shared" si="7"/>
        <v>3350.35</v>
      </c>
    </row>
    <row r="168" spans="1:20" hidden="1" x14ac:dyDescent="0.3">
      <c r="A168">
        <v>353870905000575</v>
      </c>
      <c r="B168" t="s">
        <v>217</v>
      </c>
      <c r="C168" t="s">
        <v>108</v>
      </c>
      <c r="D168">
        <v>1</v>
      </c>
      <c r="E168">
        <v>1</v>
      </c>
      <c r="F168" s="1">
        <v>797478</v>
      </c>
      <c r="G168" s="1">
        <v>796678</v>
      </c>
      <c r="H168" s="1">
        <v>800</v>
      </c>
      <c r="I168" s="3">
        <v>1</v>
      </c>
      <c r="J168" s="3">
        <v>1</v>
      </c>
      <c r="K168" s="3">
        <v>7</v>
      </c>
      <c r="L168" s="3">
        <v>42</v>
      </c>
      <c r="M168" s="3">
        <v>84</v>
      </c>
      <c r="N168" s="3">
        <v>45</v>
      </c>
      <c r="O168" s="3">
        <v>42</v>
      </c>
      <c r="P168" s="3">
        <v>16</v>
      </c>
      <c r="Q168" s="3">
        <v>0</v>
      </c>
      <c r="R168" s="3">
        <v>1</v>
      </c>
      <c r="S168" s="2">
        <f t="shared" si="6"/>
        <v>239</v>
      </c>
      <c r="T168" s="4">
        <f t="shared" si="7"/>
        <v>3336.7280334728034</v>
      </c>
    </row>
    <row r="169" spans="1:20" hidden="1" x14ac:dyDescent="0.3">
      <c r="A169">
        <v>353870905000061</v>
      </c>
      <c r="B169" t="s">
        <v>217</v>
      </c>
      <c r="C169" t="s">
        <v>220</v>
      </c>
      <c r="D169">
        <v>1</v>
      </c>
      <c r="E169">
        <v>0</v>
      </c>
      <c r="F169" s="1">
        <v>439770</v>
      </c>
      <c r="G169" s="1">
        <v>439770</v>
      </c>
      <c r="H169" s="1">
        <v>0</v>
      </c>
      <c r="I169" s="3">
        <v>0</v>
      </c>
      <c r="J169" s="3">
        <v>0</v>
      </c>
      <c r="K169" s="3">
        <v>6</v>
      </c>
      <c r="L169" s="3">
        <v>25</v>
      </c>
      <c r="M169" s="3">
        <v>41</v>
      </c>
      <c r="N169" s="3">
        <v>23</v>
      </c>
      <c r="O169" s="3">
        <v>24</v>
      </c>
      <c r="P169" s="3">
        <v>8</v>
      </c>
      <c r="Q169" s="3">
        <v>2</v>
      </c>
      <c r="R169" s="3">
        <v>3</v>
      </c>
      <c r="S169" s="2">
        <f t="shared" si="6"/>
        <v>132</v>
      </c>
      <c r="T169" s="4">
        <f t="shared" si="7"/>
        <v>3331.590909090909</v>
      </c>
    </row>
    <row r="170" spans="1:20" hidden="1" x14ac:dyDescent="0.3">
      <c r="A170">
        <v>353870905000084</v>
      </c>
      <c r="B170" t="s">
        <v>217</v>
      </c>
      <c r="C170" t="s">
        <v>51</v>
      </c>
      <c r="D170">
        <v>1</v>
      </c>
      <c r="E170">
        <v>0</v>
      </c>
      <c r="F170" s="1">
        <v>358878</v>
      </c>
      <c r="G170" s="1">
        <v>358878</v>
      </c>
      <c r="H170" s="1">
        <v>0</v>
      </c>
      <c r="I170" s="3">
        <v>0</v>
      </c>
      <c r="J170" s="3">
        <v>1</v>
      </c>
      <c r="K170" s="3">
        <v>2</v>
      </c>
      <c r="L170" s="3">
        <v>18</v>
      </c>
      <c r="M170" s="3">
        <v>38</v>
      </c>
      <c r="N170" s="3">
        <v>26</v>
      </c>
      <c r="O170" s="3">
        <v>16</v>
      </c>
      <c r="P170" s="3">
        <v>6</v>
      </c>
      <c r="Q170" s="3">
        <v>0</v>
      </c>
      <c r="R170" s="3">
        <v>1</v>
      </c>
      <c r="S170" s="2">
        <f t="shared" si="6"/>
        <v>108</v>
      </c>
      <c r="T170" s="4">
        <f t="shared" si="7"/>
        <v>3322.9444444444443</v>
      </c>
    </row>
    <row r="171" spans="1:20" hidden="1" x14ac:dyDescent="0.3">
      <c r="A171">
        <v>353870905000152</v>
      </c>
      <c r="B171" t="s">
        <v>217</v>
      </c>
      <c r="C171" t="s">
        <v>74</v>
      </c>
      <c r="D171">
        <v>1</v>
      </c>
      <c r="E171">
        <v>0</v>
      </c>
      <c r="F171" s="1">
        <v>823284</v>
      </c>
      <c r="G171" s="1">
        <v>823284</v>
      </c>
      <c r="H171" s="1">
        <v>0</v>
      </c>
      <c r="I171" s="3">
        <v>0</v>
      </c>
      <c r="J171" s="3">
        <v>0</v>
      </c>
      <c r="K171" s="3">
        <v>6</v>
      </c>
      <c r="L171" s="3">
        <v>31</v>
      </c>
      <c r="M171" s="3">
        <v>77</v>
      </c>
      <c r="N171" s="3">
        <v>50</v>
      </c>
      <c r="O171" s="3">
        <v>48</v>
      </c>
      <c r="P171" s="3">
        <v>26</v>
      </c>
      <c r="Q171" s="3">
        <v>10</v>
      </c>
      <c r="R171" s="3">
        <v>2</v>
      </c>
      <c r="S171" s="2">
        <f t="shared" si="6"/>
        <v>250</v>
      </c>
      <c r="T171" s="4">
        <f t="shared" si="7"/>
        <v>3293.136</v>
      </c>
    </row>
    <row r="172" spans="1:20" hidden="1" x14ac:dyDescent="0.3">
      <c r="A172">
        <v>353870905000228</v>
      </c>
      <c r="B172" t="s">
        <v>217</v>
      </c>
      <c r="C172" t="s">
        <v>79</v>
      </c>
      <c r="D172">
        <v>1</v>
      </c>
      <c r="E172">
        <v>0</v>
      </c>
      <c r="F172" s="1">
        <v>554567</v>
      </c>
      <c r="G172" s="1">
        <v>554567</v>
      </c>
      <c r="H172" s="1">
        <v>0</v>
      </c>
      <c r="I172" s="3">
        <v>0</v>
      </c>
      <c r="J172" s="3">
        <v>0</v>
      </c>
      <c r="K172" s="3">
        <v>7</v>
      </c>
      <c r="L172" s="3">
        <v>11</v>
      </c>
      <c r="M172" s="3">
        <v>55</v>
      </c>
      <c r="N172" s="3">
        <v>32</v>
      </c>
      <c r="O172" s="3">
        <v>26</v>
      </c>
      <c r="P172" s="3">
        <v>19</v>
      </c>
      <c r="Q172" s="3">
        <v>1</v>
      </c>
      <c r="R172" s="3">
        <v>18</v>
      </c>
      <c r="S172" s="2">
        <f t="shared" si="6"/>
        <v>169</v>
      </c>
      <c r="T172" s="4">
        <f t="shared" si="7"/>
        <v>3281.4615384615386</v>
      </c>
    </row>
    <row r="173" spans="1:20" hidden="1" x14ac:dyDescent="0.3">
      <c r="A173">
        <v>353870905000446</v>
      </c>
      <c r="B173" t="s">
        <v>217</v>
      </c>
      <c r="C173" t="s">
        <v>142</v>
      </c>
      <c r="D173">
        <v>1</v>
      </c>
      <c r="E173">
        <v>0</v>
      </c>
      <c r="F173" s="1">
        <v>55720</v>
      </c>
      <c r="G173" s="1">
        <v>55720</v>
      </c>
      <c r="H173" s="1">
        <v>0</v>
      </c>
      <c r="I173" s="3">
        <v>0</v>
      </c>
      <c r="J173" s="3">
        <v>0</v>
      </c>
      <c r="K173" s="3">
        <v>0</v>
      </c>
      <c r="L173" s="3">
        <v>6</v>
      </c>
      <c r="M173" s="3">
        <v>4</v>
      </c>
      <c r="N173" s="3">
        <v>1</v>
      </c>
      <c r="O173" s="3">
        <v>4</v>
      </c>
      <c r="P173" s="3">
        <v>1</v>
      </c>
      <c r="Q173" s="3">
        <v>0</v>
      </c>
      <c r="R173" s="3">
        <v>1</v>
      </c>
      <c r="S173" s="2">
        <f t="shared" si="6"/>
        <v>17</v>
      </c>
      <c r="T173" s="4">
        <f t="shared" si="7"/>
        <v>3277.6470588235293</v>
      </c>
    </row>
    <row r="174" spans="1:20" hidden="1" x14ac:dyDescent="0.3">
      <c r="A174">
        <v>353870905000283</v>
      </c>
      <c r="B174" t="s">
        <v>217</v>
      </c>
      <c r="C174" t="s">
        <v>140</v>
      </c>
      <c r="D174">
        <v>1</v>
      </c>
      <c r="E174">
        <v>0</v>
      </c>
      <c r="F174" s="1">
        <v>691022</v>
      </c>
      <c r="G174" s="1">
        <v>691022</v>
      </c>
      <c r="H174" s="1">
        <v>0</v>
      </c>
      <c r="I174" s="3">
        <v>0</v>
      </c>
      <c r="J174" s="3">
        <v>1</v>
      </c>
      <c r="K174" s="3">
        <v>12</v>
      </c>
      <c r="L174" s="3">
        <v>60</v>
      </c>
      <c r="M174" s="3">
        <v>77</v>
      </c>
      <c r="N174" s="3">
        <v>38</v>
      </c>
      <c r="O174" s="3">
        <v>18</v>
      </c>
      <c r="P174" s="3">
        <v>3</v>
      </c>
      <c r="Q174" s="3">
        <v>3</v>
      </c>
      <c r="R174" s="3">
        <v>0</v>
      </c>
      <c r="S174" s="2">
        <f t="shared" si="6"/>
        <v>212</v>
      </c>
      <c r="T174" s="4">
        <f t="shared" si="7"/>
        <v>3259.5377358490564</v>
      </c>
    </row>
    <row r="175" spans="1:20" hidden="1" x14ac:dyDescent="0.3">
      <c r="A175">
        <v>353870905000178</v>
      </c>
      <c r="B175" t="s">
        <v>217</v>
      </c>
      <c r="C175" t="s">
        <v>62</v>
      </c>
      <c r="D175">
        <v>1</v>
      </c>
      <c r="E175">
        <v>0</v>
      </c>
      <c r="F175" s="1">
        <v>426135</v>
      </c>
      <c r="G175" s="1">
        <v>426135</v>
      </c>
      <c r="H175" s="1">
        <v>0</v>
      </c>
      <c r="I175" s="3">
        <v>1</v>
      </c>
      <c r="J175" s="3">
        <v>0</v>
      </c>
      <c r="K175" s="3">
        <v>1</v>
      </c>
      <c r="L175" s="3">
        <v>26</v>
      </c>
      <c r="M175" s="3">
        <v>46</v>
      </c>
      <c r="N175" s="3">
        <v>27</v>
      </c>
      <c r="O175" s="3">
        <v>21</v>
      </c>
      <c r="P175" s="3">
        <v>9</v>
      </c>
      <c r="Q175" s="3">
        <v>1</v>
      </c>
      <c r="R175" s="3">
        <v>0</v>
      </c>
      <c r="S175" s="2">
        <f t="shared" si="6"/>
        <v>132</v>
      </c>
      <c r="T175" s="4">
        <f t="shared" si="7"/>
        <v>3228.2954545454545</v>
      </c>
    </row>
    <row r="176" spans="1:20" hidden="1" x14ac:dyDescent="0.3">
      <c r="A176">
        <v>353870905000592</v>
      </c>
      <c r="B176" t="s">
        <v>217</v>
      </c>
      <c r="C176" t="s">
        <v>108</v>
      </c>
      <c r="D176">
        <v>1</v>
      </c>
      <c r="E176">
        <v>0</v>
      </c>
      <c r="F176" s="1">
        <v>634332</v>
      </c>
      <c r="G176" s="1">
        <v>634332</v>
      </c>
      <c r="H176" s="1">
        <v>0</v>
      </c>
      <c r="I176" s="3">
        <v>0</v>
      </c>
      <c r="J176" s="3">
        <v>1</v>
      </c>
      <c r="K176" s="3">
        <v>5</v>
      </c>
      <c r="L176" s="3">
        <v>35</v>
      </c>
      <c r="M176" s="3">
        <v>86</v>
      </c>
      <c r="N176" s="3">
        <v>35</v>
      </c>
      <c r="O176" s="3">
        <v>20</v>
      </c>
      <c r="P176" s="3">
        <v>13</v>
      </c>
      <c r="Q176" s="3">
        <v>1</v>
      </c>
      <c r="R176" s="3">
        <v>1</v>
      </c>
      <c r="S176" s="2">
        <f t="shared" si="6"/>
        <v>197</v>
      </c>
      <c r="T176" s="4">
        <f t="shared" si="7"/>
        <v>3219.959390862944</v>
      </c>
    </row>
    <row r="177" spans="1:20" hidden="1" x14ac:dyDescent="0.3">
      <c r="A177">
        <v>353870935000091</v>
      </c>
      <c r="B177" t="s">
        <v>217</v>
      </c>
      <c r="C177" t="s">
        <v>155</v>
      </c>
      <c r="D177">
        <v>1</v>
      </c>
      <c r="E177">
        <v>0</v>
      </c>
      <c r="F177" s="1">
        <v>292808</v>
      </c>
      <c r="G177" s="1">
        <v>292808</v>
      </c>
      <c r="H177" s="1">
        <v>0</v>
      </c>
      <c r="I177" s="3">
        <v>0</v>
      </c>
      <c r="J177" s="3">
        <v>0</v>
      </c>
      <c r="K177" s="3">
        <v>2</v>
      </c>
      <c r="L177" s="3">
        <v>13</v>
      </c>
      <c r="M177" s="3">
        <v>32</v>
      </c>
      <c r="N177" s="3">
        <v>22</v>
      </c>
      <c r="O177" s="3">
        <v>15</v>
      </c>
      <c r="P177" s="3">
        <v>5</v>
      </c>
      <c r="Q177" s="3">
        <v>0</v>
      </c>
      <c r="R177" s="3">
        <v>2</v>
      </c>
      <c r="S177" s="2">
        <f t="shared" si="6"/>
        <v>91</v>
      </c>
      <c r="T177" s="4">
        <f t="shared" si="7"/>
        <v>3217.6703296703295</v>
      </c>
    </row>
    <row r="178" spans="1:20" hidden="1" x14ac:dyDescent="0.3">
      <c r="A178">
        <v>353870905000233</v>
      </c>
      <c r="B178" t="s">
        <v>217</v>
      </c>
      <c r="C178" t="s">
        <v>79</v>
      </c>
      <c r="D178">
        <v>1</v>
      </c>
      <c r="E178">
        <v>0</v>
      </c>
      <c r="F178" s="1">
        <v>810376</v>
      </c>
      <c r="G178" s="1">
        <v>810376</v>
      </c>
      <c r="H178" s="1">
        <v>0</v>
      </c>
      <c r="I178" s="3">
        <v>0</v>
      </c>
      <c r="J178" s="3">
        <v>1</v>
      </c>
      <c r="K178" s="3">
        <v>7</v>
      </c>
      <c r="L178" s="3">
        <v>58</v>
      </c>
      <c r="M178" s="3">
        <v>79</v>
      </c>
      <c r="N178" s="3">
        <v>47</v>
      </c>
      <c r="O178" s="3">
        <v>41</v>
      </c>
      <c r="P178" s="3">
        <v>16</v>
      </c>
      <c r="Q178" s="3">
        <v>1</v>
      </c>
      <c r="R178" s="3">
        <v>2</v>
      </c>
      <c r="S178" s="2">
        <f t="shared" si="6"/>
        <v>252</v>
      </c>
      <c r="T178" s="4">
        <f t="shared" si="7"/>
        <v>3215.7777777777778</v>
      </c>
    </row>
    <row r="179" spans="1:20" hidden="1" x14ac:dyDescent="0.3">
      <c r="A179">
        <v>353870905000121</v>
      </c>
      <c r="B179" t="s">
        <v>217</v>
      </c>
      <c r="C179" t="s">
        <v>140</v>
      </c>
      <c r="D179">
        <v>1</v>
      </c>
      <c r="E179">
        <v>1</v>
      </c>
      <c r="F179" s="1">
        <v>398728</v>
      </c>
      <c r="G179" s="1">
        <v>398728</v>
      </c>
      <c r="H179" s="1">
        <v>0</v>
      </c>
      <c r="I179" s="3">
        <v>2</v>
      </c>
      <c r="J179" s="3">
        <v>0</v>
      </c>
      <c r="K179" s="3">
        <v>3</v>
      </c>
      <c r="L179" s="3">
        <v>22</v>
      </c>
      <c r="M179" s="3">
        <v>40</v>
      </c>
      <c r="N179" s="3">
        <v>25</v>
      </c>
      <c r="O179" s="3">
        <v>20</v>
      </c>
      <c r="P179" s="3">
        <v>8</v>
      </c>
      <c r="Q179" s="3">
        <v>2</v>
      </c>
      <c r="R179" s="3">
        <v>2</v>
      </c>
      <c r="S179" s="2">
        <f t="shared" si="6"/>
        <v>124</v>
      </c>
      <c r="T179" s="4">
        <f t="shared" si="7"/>
        <v>3215.5483870967741</v>
      </c>
    </row>
    <row r="180" spans="1:20" hidden="1" x14ac:dyDescent="0.3">
      <c r="A180">
        <v>353870905000195</v>
      </c>
      <c r="B180" t="s">
        <v>217</v>
      </c>
      <c r="C180" t="s">
        <v>82</v>
      </c>
      <c r="D180">
        <v>1</v>
      </c>
      <c r="E180">
        <v>0</v>
      </c>
      <c r="F180" s="1">
        <v>745446</v>
      </c>
      <c r="G180" s="1">
        <v>745446</v>
      </c>
      <c r="H180" s="1">
        <v>0</v>
      </c>
      <c r="I180" s="3">
        <v>0</v>
      </c>
      <c r="J180" s="3">
        <v>0</v>
      </c>
      <c r="K180" s="3">
        <v>4</v>
      </c>
      <c r="L180" s="3">
        <v>23</v>
      </c>
      <c r="M180" s="3">
        <v>64</v>
      </c>
      <c r="N180" s="3">
        <v>51</v>
      </c>
      <c r="O180" s="3">
        <v>39</v>
      </c>
      <c r="P180" s="3">
        <v>20</v>
      </c>
      <c r="Q180" s="3">
        <v>1</v>
      </c>
      <c r="R180" s="3">
        <v>30</v>
      </c>
      <c r="S180" s="2">
        <f t="shared" si="6"/>
        <v>232</v>
      </c>
      <c r="T180" s="4">
        <f t="shared" si="7"/>
        <v>3213.1293103448274</v>
      </c>
    </row>
    <row r="181" spans="1:20" hidden="1" x14ac:dyDescent="0.3">
      <c r="A181">
        <v>353870905000450</v>
      </c>
      <c r="B181" t="s">
        <v>217</v>
      </c>
      <c r="C181" t="s">
        <v>45</v>
      </c>
      <c r="D181">
        <v>1</v>
      </c>
      <c r="E181">
        <v>0</v>
      </c>
      <c r="F181" s="1">
        <v>64161</v>
      </c>
      <c r="G181" s="1">
        <v>64161</v>
      </c>
      <c r="H181" s="1">
        <v>0</v>
      </c>
      <c r="I181" s="3">
        <v>1</v>
      </c>
      <c r="J181" s="3">
        <v>0</v>
      </c>
      <c r="K181" s="3">
        <v>0</v>
      </c>
      <c r="L181" s="3">
        <v>3</v>
      </c>
      <c r="M181" s="3">
        <v>6</v>
      </c>
      <c r="N181" s="3">
        <v>4</v>
      </c>
      <c r="O181" s="3">
        <v>5</v>
      </c>
      <c r="P181" s="3">
        <v>0</v>
      </c>
      <c r="Q181" s="3">
        <v>1</v>
      </c>
      <c r="R181" s="3">
        <v>0</v>
      </c>
      <c r="S181" s="2">
        <f t="shared" si="6"/>
        <v>20</v>
      </c>
      <c r="T181" s="4">
        <f t="shared" si="7"/>
        <v>3208.05</v>
      </c>
    </row>
    <row r="182" spans="1:20" hidden="1" x14ac:dyDescent="0.3">
      <c r="A182">
        <v>353870905000560</v>
      </c>
      <c r="B182" t="s">
        <v>217</v>
      </c>
      <c r="C182" t="s">
        <v>218</v>
      </c>
      <c r="D182">
        <v>8</v>
      </c>
      <c r="E182">
        <v>0</v>
      </c>
      <c r="F182" s="1">
        <v>220001</v>
      </c>
      <c r="G182" s="1">
        <v>220001</v>
      </c>
      <c r="H182" s="1">
        <v>0</v>
      </c>
      <c r="I182" s="3">
        <v>1</v>
      </c>
      <c r="J182" s="3">
        <v>5</v>
      </c>
      <c r="K182" s="3">
        <v>6</v>
      </c>
      <c r="L182" s="3">
        <v>28</v>
      </c>
      <c r="M182" s="3">
        <v>21</v>
      </c>
      <c r="N182" s="3">
        <v>3</v>
      </c>
      <c r="O182" s="3">
        <v>0</v>
      </c>
      <c r="P182" s="3">
        <v>1</v>
      </c>
      <c r="Q182" s="3">
        <v>1</v>
      </c>
      <c r="R182" s="3">
        <v>3</v>
      </c>
      <c r="S182" s="2">
        <f t="shared" si="6"/>
        <v>69</v>
      </c>
      <c r="T182" s="4">
        <f t="shared" si="7"/>
        <v>3188.4202898550725</v>
      </c>
    </row>
    <row r="183" spans="1:20" hidden="1" x14ac:dyDescent="0.3">
      <c r="A183">
        <v>353870905000321</v>
      </c>
      <c r="B183" t="s">
        <v>217</v>
      </c>
      <c r="C183" t="s">
        <v>108</v>
      </c>
      <c r="D183">
        <v>1</v>
      </c>
      <c r="E183">
        <v>0</v>
      </c>
      <c r="F183" s="1">
        <v>784276</v>
      </c>
      <c r="G183" s="1">
        <v>784276</v>
      </c>
      <c r="H183" s="1">
        <v>0</v>
      </c>
      <c r="I183" s="3">
        <v>1</v>
      </c>
      <c r="J183" s="3">
        <v>0</v>
      </c>
      <c r="K183" s="3">
        <v>7</v>
      </c>
      <c r="L183" s="3">
        <v>30</v>
      </c>
      <c r="M183" s="3">
        <v>111</v>
      </c>
      <c r="N183" s="3">
        <v>56</v>
      </c>
      <c r="O183" s="3">
        <v>32</v>
      </c>
      <c r="P183" s="3">
        <v>7</v>
      </c>
      <c r="Q183" s="3">
        <v>0</v>
      </c>
      <c r="R183" s="3">
        <v>2</v>
      </c>
      <c r="S183" s="2">
        <f t="shared" si="6"/>
        <v>246</v>
      </c>
      <c r="T183" s="4">
        <f t="shared" si="7"/>
        <v>3188.1138211382113</v>
      </c>
    </row>
    <row r="184" spans="1:20" hidden="1" x14ac:dyDescent="0.3">
      <c r="A184">
        <v>353870905000310</v>
      </c>
      <c r="B184" t="s">
        <v>217</v>
      </c>
      <c r="C184" t="s">
        <v>79</v>
      </c>
      <c r="D184">
        <v>1</v>
      </c>
      <c r="E184">
        <v>0</v>
      </c>
      <c r="F184" s="1">
        <v>840345</v>
      </c>
      <c r="G184" s="1">
        <v>840345</v>
      </c>
      <c r="H184" s="1">
        <v>0</v>
      </c>
      <c r="I184" s="3">
        <v>0</v>
      </c>
      <c r="J184" s="3">
        <v>3</v>
      </c>
      <c r="K184" s="3">
        <v>8</v>
      </c>
      <c r="L184" s="3">
        <v>49</v>
      </c>
      <c r="M184" s="3">
        <v>92</v>
      </c>
      <c r="N184" s="3">
        <v>52</v>
      </c>
      <c r="O184" s="3">
        <v>37</v>
      </c>
      <c r="P184" s="3">
        <v>16</v>
      </c>
      <c r="Q184" s="3">
        <v>2</v>
      </c>
      <c r="R184" s="3">
        <v>5</v>
      </c>
      <c r="S184" s="2">
        <f t="shared" si="6"/>
        <v>264</v>
      </c>
      <c r="T184" s="4">
        <f t="shared" si="7"/>
        <v>3183.125</v>
      </c>
    </row>
    <row r="185" spans="1:20" hidden="1" x14ac:dyDescent="0.3">
      <c r="A185">
        <v>353870905000576</v>
      </c>
      <c r="B185" t="s">
        <v>217</v>
      </c>
      <c r="C185" t="s">
        <v>28</v>
      </c>
      <c r="D185">
        <v>1</v>
      </c>
      <c r="E185">
        <v>0</v>
      </c>
      <c r="F185" s="1">
        <v>568680</v>
      </c>
      <c r="G185" s="1">
        <v>568680</v>
      </c>
      <c r="H185" s="1">
        <v>0</v>
      </c>
      <c r="I185" s="3">
        <v>0</v>
      </c>
      <c r="J185" s="3">
        <v>1</v>
      </c>
      <c r="K185" s="3">
        <v>2</v>
      </c>
      <c r="L185" s="3">
        <v>13</v>
      </c>
      <c r="M185" s="3">
        <v>27</v>
      </c>
      <c r="N185" s="3">
        <v>34</v>
      </c>
      <c r="O185" s="3">
        <v>49</v>
      </c>
      <c r="P185" s="3">
        <v>39</v>
      </c>
      <c r="Q185" s="3">
        <v>3</v>
      </c>
      <c r="R185" s="3">
        <v>11</v>
      </c>
      <c r="S185" s="2">
        <f t="shared" si="6"/>
        <v>179</v>
      </c>
      <c r="T185" s="4">
        <f t="shared" si="7"/>
        <v>3176.9832402234638</v>
      </c>
    </row>
    <row r="186" spans="1:20" hidden="1" x14ac:dyDescent="0.3">
      <c r="A186">
        <v>353870905000204</v>
      </c>
      <c r="B186" t="s">
        <v>217</v>
      </c>
      <c r="C186" t="s">
        <v>167</v>
      </c>
      <c r="D186">
        <v>1</v>
      </c>
      <c r="E186">
        <v>0</v>
      </c>
      <c r="F186" s="1">
        <v>631364</v>
      </c>
      <c r="G186" s="1">
        <v>631364</v>
      </c>
      <c r="H186" s="1">
        <v>0</v>
      </c>
      <c r="I186" s="3">
        <v>0</v>
      </c>
      <c r="J186" s="3">
        <v>0</v>
      </c>
      <c r="K186" s="3">
        <v>9</v>
      </c>
      <c r="L186" s="3">
        <v>41</v>
      </c>
      <c r="M186" s="3">
        <v>71</v>
      </c>
      <c r="N186" s="3">
        <v>37</v>
      </c>
      <c r="O186" s="3">
        <v>23</v>
      </c>
      <c r="P186" s="3">
        <v>7</v>
      </c>
      <c r="Q186" s="3">
        <v>2</v>
      </c>
      <c r="R186" s="3">
        <v>9</v>
      </c>
      <c r="S186" s="2">
        <f t="shared" si="6"/>
        <v>199</v>
      </c>
      <c r="T186" s="4">
        <f t="shared" si="7"/>
        <v>3172.6834170854272</v>
      </c>
    </row>
    <row r="187" spans="1:20" hidden="1" x14ac:dyDescent="0.3">
      <c r="A187">
        <v>353870935000068</v>
      </c>
      <c r="B187" t="s">
        <v>217</v>
      </c>
      <c r="C187" t="s">
        <v>218</v>
      </c>
      <c r="D187">
        <v>3</v>
      </c>
      <c r="E187">
        <v>0</v>
      </c>
      <c r="F187" s="1">
        <v>756950</v>
      </c>
      <c r="G187" s="1">
        <v>756950</v>
      </c>
      <c r="H187" s="1">
        <v>0</v>
      </c>
      <c r="I187" s="3">
        <v>1</v>
      </c>
      <c r="J187" s="3">
        <v>1</v>
      </c>
      <c r="K187" s="3">
        <v>10</v>
      </c>
      <c r="L187" s="3">
        <v>34</v>
      </c>
      <c r="M187" s="3">
        <v>104</v>
      </c>
      <c r="N187" s="3">
        <v>53</v>
      </c>
      <c r="O187" s="3">
        <v>25</v>
      </c>
      <c r="P187" s="3">
        <v>6</v>
      </c>
      <c r="Q187" s="3">
        <v>1</v>
      </c>
      <c r="R187" s="3">
        <v>4</v>
      </c>
      <c r="S187" s="2">
        <f t="shared" si="6"/>
        <v>239</v>
      </c>
      <c r="T187" s="4">
        <f t="shared" si="7"/>
        <v>3167.1548117154812</v>
      </c>
    </row>
    <row r="188" spans="1:20" hidden="1" x14ac:dyDescent="0.3">
      <c r="A188">
        <v>353870905000159</v>
      </c>
      <c r="B188" t="s">
        <v>217</v>
      </c>
      <c r="C188" t="s">
        <v>116</v>
      </c>
      <c r="D188">
        <v>1</v>
      </c>
      <c r="E188">
        <v>1</v>
      </c>
      <c r="F188" s="1">
        <v>1005306</v>
      </c>
      <c r="G188" s="1">
        <v>1004756</v>
      </c>
      <c r="H188" s="1">
        <v>550</v>
      </c>
      <c r="I188" s="3">
        <v>0</v>
      </c>
      <c r="J188" s="3">
        <v>1</v>
      </c>
      <c r="K188" s="3">
        <v>22</v>
      </c>
      <c r="L188" s="3">
        <v>56</v>
      </c>
      <c r="M188" s="3">
        <v>95</v>
      </c>
      <c r="N188" s="3">
        <v>57</v>
      </c>
      <c r="O188" s="3">
        <v>55</v>
      </c>
      <c r="P188" s="3">
        <v>24</v>
      </c>
      <c r="Q188" s="3">
        <v>7</v>
      </c>
      <c r="R188" s="3">
        <v>3</v>
      </c>
      <c r="S188" s="2">
        <f t="shared" si="6"/>
        <v>320</v>
      </c>
      <c r="T188" s="4">
        <f t="shared" si="7"/>
        <v>3141.5812500000002</v>
      </c>
    </row>
    <row r="189" spans="1:20" hidden="1" x14ac:dyDescent="0.3">
      <c r="A189">
        <v>353870905000422</v>
      </c>
      <c r="B189" t="s">
        <v>217</v>
      </c>
      <c r="C189" t="s">
        <v>102</v>
      </c>
      <c r="D189">
        <v>1</v>
      </c>
      <c r="E189">
        <v>0</v>
      </c>
      <c r="F189" s="1">
        <v>1011208</v>
      </c>
      <c r="G189" s="1">
        <v>1011208</v>
      </c>
      <c r="H189" s="1">
        <v>0</v>
      </c>
      <c r="I189" s="3">
        <v>1</v>
      </c>
      <c r="J189" s="3">
        <v>1</v>
      </c>
      <c r="K189" s="3">
        <v>9</v>
      </c>
      <c r="L189" s="3">
        <v>67</v>
      </c>
      <c r="M189" s="3">
        <v>135</v>
      </c>
      <c r="N189" s="3">
        <v>55</v>
      </c>
      <c r="O189" s="3">
        <v>32</v>
      </c>
      <c r="P189" s="3">
        <v>15</v>
      </c>
      <c r="Q189" s="3">
        <v>4</v>
      </c>
      <c r="R189" s="3">
        <v>4</v>
      </c>
      <c r="S189" s="2">
        <f t="shared" si="6"/>
        <v>323</v>
      </c>
      <c r="T189" s="4">
        <f t="shared" si="7"/>
        <v>3130.6749226006191</v>
      </c>
    </row>
    <row r="190" spans="1:20" hidden="1" x14ac:dyDescent="0.3">
      <c r="A190">
        <v>353870905000314</v>
      </c>
      <c r="B190" t="s">
        <v>217</v>
      </c>
      <c r="C190" t="s">
        <v>114</v>
      </c>
      <c r="D190">
        <v>1</v>
      </c>
      <c r="E190">
        <v>0</v>
      </c>
      <c r="F190" s="1">
        <v>522303</v>
      </c>
      <c r="G190" s="1">
        <v>522303</v>
      </c>
      <c r="H190" s="1">
        <v>0</v>
      </c>
      <c r="I190" s="3">
        <v>1</v>
      </c>
      <c r="J190" s="3">
        <v>1</v>
      </c>
      <c r="K190" s="3">
        <v>10</v>
      </c>
      <c r="L190" s="3">
        <v>35</v>
      </c>
      <c r="M190" s="3">
        <v>55</v>
      </c>
      <c r="N190" s="3">
        <v>28</v>
      </c>
      <c r="O190" s="3">
        <v>18</v>
      </c>
      <c r="P190" s="3">
        <v>13</v>
      </c>
      <c r="Q190" s="3">
        <v>2</v>
      </c>
      <c r="R190" s="3">
        <v>4</v>
      </c>
      <c r="S190" s="2">
        <f t="shared" si="6"/>
        <v>167</v>
      </c>
      <c r="T190" s="4">
        <f t="shared" si="7"/>
        <v>3127.5628742514969</v>
      </c>
    </row>
    <row r="191" spans="1:20" hidden="1" x14ac:dyDescent="0.3">
      <c r="A191">
        <v>353870905000108</v>
      </c>
      <c r="B191" t="s">
        <v>217</v>
      </c>
      <c r="C191" t="s">
        <v>105</v>
      </c>
      <c r="D191">
        <v>1</v>
      </c>
      <c r="E191">
        <v>0</v>
      </c>
      <c r="F191" s="1">
        <v>359599</v>
      </c>
      <c r="G191" s="1">
        <v>359599</v>
      </c>
      <c r="H191" s="1">
        <v>0</v>
      </c>
      <c r="I191" s="3">
        <v>0</v>
      </c>
      <c r="J191" s="3">
        <v>0</v>
      </c>
      <c r="K191" s="3">
        <v>4</v>
      </c>
      <c r="L191" s="3">
        <v>12</v>
      </c>
      <c r="M191" s="3">
        <v>53</v>
      </c>
      <c r="N191" s="3">
        <v>27</v>
      </c>
      <c r="O191" s="3">
        <v>9</v>
      </c>
      <c r="P191" s="3">
        <v>9</v>
      </c>
      <c r="Q191" s="3">
        <v>0</v>
      </c>
      <c r="R191" s="3">
        <v>1</v>
      </c>
      <c r="S191" s="2">
        <f t="shared" si="6"/>
        <v>115</v>
      </c>
      <c r="T191" s="4">
        <f t="shared" si="7"/>
        <v>3126.9478260869564</v>
      </c>
    </row>
    <row r="192" spans="1:20" hidden="1" x14ac:dyDescent="0.3">
      <c r="A192">
        <v>353870905000100</v>
      </c>
      <c r="B192" t="s">
        <v>217</v>
      </c>
      <c r="C192" t="s">
        <v>220</v>
      </c>
      <c r="D192">
        <v>1</v>
      </c>
      <c r="E192">
        <v>0</v>
      </c>
      <c r="F192" s="1">
        <v>500145</v>
      </c>
      <c r="G192" s="1">
        <v>500145</v>
      </c>
      <c r="H192" s="1">
        <v>0</v>
      </c>
      <c r="I192" s="3">
        <v>0</v>
      </c>
      <c r="J192" s="3">
        <v>1</v>
      </c>
      <c r="K192" s="3">
        <v>8</v>
      </c>
      <c r="L192" s="3">
        <v>14</v>
      </c>
      <c r="M192" s="3">
        <v>42</v>
      </c>
      <c r="N192" s="3">
        <v>17</v>
      </c>
      <c r="O192" s="3">
        <v>20</v>
      </c>
      <c r="P192" s="3">
        <v>10</v>
      </c>
      <c r="Q192" s="3">
        <v>3</v>
      </c>
      <c r="R192" s="3">
        <v>45</v>
      </c>
      <c r="S192" s="2">
        <f t="shared" si="6"/>
        <v>160</v>
      </c>
      <c r="T192" s="4">
        <f t="shared" si="7"/>
        <v>3125.90625</v>
      </c>
    </row>
    <row r="193" spans="1:20" hidden="1" x14ac:dyDescent="0.3">
      <c r="A193">
        <v>353870905000022</v>
      </c>
      <c r="B193" t="s">
        <v>217</v>
      </c>
      <c r="C193" t="s">
        <v>45</v>
      </c>
      <c r="D193">
        <v>1</v>
      </c>
      <c r="E193">
        <v>0</v>
      </c>
      <c r="F193" s="1">
        <v>365003</v>
      </c>
      <c r="G193" s="1">
        <v>365003</v>
      </c>
      <c r="H193" s="1">
        <v>0</v>
      </c>
      <c r="I193" s="3">
        <v>0</v>
      </c>
      <c r="J193" s="3">
        <v>0</v>
      </c>
      <c r="K193" s="3">
        <v>1</v>
      </c>
      <c r="L193" s="3">
        <v>7</v>
      </c>
      <c r="M193" s="3">
        <v>33</v>
      </c>
      <c r="N193" s="3">
        <v>26</v>
      </c>
      <c r="O193" s="3">
        <v>29</v>
      </c>
      <c r="P193" s="3">
        <v>18</v>
      </c>
      <c r="Q193" s="3">
        <v>2</v>
      </c>
      <c r="R193" s="3">
        <v>1</v>
      </c>
      <c r="S193" s="2">
        <f t="shared" si="6"/>
        <v>117</v>
      </c>
      <c r="T193" s="4">
        <f t="shared" si="7"/>
        <v>3119.6837606837607</v>
      </c>
    </row>
    <row r="194" spans="1:20" hidden="1" x14ac:dyDescent="0.3">
      <c r="A194">
        <v>353870905000437</v>
      </c>
      <c r="B194" t="s">
        <v>217</v>
      </c>
      <c r="C194" t="s">
        <v>119</v>
      </c>
      <c r="D194">
        <v>2</v>
      </c>
      <c r="E194">
        <v>0</v>
      </c>
      <c r="F194" s="1">
        <v>653459</v>
      </c>
      <c r="G194" s="1">
        <v>653459</v>
      </c>
      <c r="H194" s="1">
        <v>0</v>
      </c>
      <c r="I194" s="3">
        <v>0</v>
      </c>
      <c r="J194" s="3">
        <v>1</v>
      </c>
      <c r="K194" s="3">
        <v>11</v>
      </c>
      <c r="L194" s="3">
        <v>49</v>
      </c>
      <c r="M194" s="3">
        <v>92</v>
      </c>
      <c r="N194" s="3">
        <v>28</v>
      </c>
      <c r="O194" s="3">
        <v>15</v>
      </c>
      <c r="P194" s="3">
        <v>7</v>
      </c>
      <c r="Q194" s="3">
        <v>3</v>
      </c>
      <c r="R194" s="3">
        <v>4</v>
      </c>
      <c r="S194" s="2">
        <f t="shared" si="6"/>
        <v>210</v>
      </c>
      <c r="T194" s="4">
        <f t="shared" si="7"/>
        <v>3111.7095238095239</v>
      </c>
    </row>
    <row r="195" spans="1:20" hidden="1" x14ac:dyDescent="0.3">
      <c r="A195">
        <v>353870905000041</v>
      </c>
      <c r="B195" t="s">
        <v>217</v>
      </c>
      <c r="C195" t="s">
        <v>45</v>
      </c>
      <c r="D195">
        <v>1</v>
      </c>
      <c r="E195">
        <v>0</v>
      </c>
      <c r="F195" s="1">
        <v>438351</v>
      </c>
      <c r="G195" s="1">
        <v>438351</v>
      </c>
      <c r="H195" s="1">
        <v>0</v>
      </c>
      <c r="I195" s="3">
        <v>0</v>
      </c>
      <c r="J195" s="3">
        <v>2</v>
      </c>
      <c r="K195" s="3">
        <v>5</v>
      </c>
      <c r="L195" s="3">
        <v>25</v>
      </c>
      <c r="M195" s="3">
        <v>53</v>
      </c>
      <c r="N195" s="3">
        <v>22</v>
      </c>
      <c r="O195" s="3">
        <v>12</v>
      </c>
      <c r="P195" s="3">
        <v>21</v>
      </c>
      <c r="Q195" s="3">
        <v>1</v>
      </c>
      <c r="R195" s="3">
        <v>0</v>
      </c>
      <c r="S195" s="2">
        <f t="shared" ref="S195:S258" si="8">SUM(I195:R195)</f>
        <v>141</v>
      </c>
      <c r="T195" s="4">
        <f t="shared" ref="T195:T258" si="9">F195/S195</f>
        <v>3108.872340425532</v>
      </c>
    </row>
    <row r="196" spans="1:20" hidden="1" x14ac:dyDescent="0.3">
      <c r="A196">
        <v>353870905000247</v>
      </c>
      <c r="B196" t="s">
        <v>217</v>
      </c>
      <c r="C196" t="s">
        <v>116</v>
      </c>
      <c r="D196">
        <v>1</v>
      </c>
      <c r="E196">
        <v>1</v>
      </c>
      <c r="F196" s="1">
        <v>605811</v>
      </c>
      <c r="G196" s="1">
        <v>605211</v>
      </c>
      <c r="H196" s="1">
        <v>600</v>
      </c>
      <c r="I196" s="3">
        <v>1</v>
      </c>
      <c r="J196" s="3">
        <v>2</v>
      </c>
      <c r="K196" s="3">
        <v>6</v>
      </c>
      <c r="L196" s="3">
        <v>32</v>
      </c>
      <c r="M196" s="3">
        <v>78</v>
      </c>
      <c r="N196" s="3">
        <v>48</v>
      </c>
      <c r="O196" s="3">
        <v>22</v>
      </c>
      <c r="P196" s="3">
        <v>5</v>
      </c>
      <c r="Q196" s="3">
        <v>1</v>
      </c>
      <c r="R196" s="3">
        <v>0</v>
      </c>
      <c r="S196" s="2">
        <f t="shared" si="8"/>
        <v>195</v>
      </c>
      <c r="T196" s="4">
        <f t="shared" si="9"/>
        <v>3106.7230769230769</v>
      </c>
    </row>
    <row r="197" spans="1:20" hidden="1" x14ac:dyDescent="0.3">
      <c r="A197">
        <v>353870905000304</v>
      </c>
      <c r="B197" t="s">
        <v>217</v>
      </c>
      <c r="C197" t="s">
        <v>48</v>
      </c>
      <c r="D197">
        <v>1</v>
      </c>
      <c r="E197">
        <v>0</v>
      </c>
      <c r="F197" s="1">
        <v>540181</v>
      </c>
      <c r="G197" s="1">
        <v>540181</v>
      </c>
      <c r="H197" s="1">
        <v>0</v>
      </c>
      <c r="I197" s="3">
        <v>0</v>
      </c>
      <c r="J197" s="3">
        <v>1</v>
      </c>
      <c r="K197" s="3">
        <v>1</v>
      </c>
      <c r="L197" s="3">
        <v>28</v>
      </c>
      <c r="M197" s="3">
        <v>67</v>
      </c>
      <c r="N197" s="3">
        <v>34</v>
      </c>
      <c r="O197" s="3">
        <v>30</v>
      </c>
      <c r="P197" s="3">
        <v>12</v>
      </c>
      <c r="Q197" s="3">
        <v>1</v>
      </c>
      <c r="R197" s="3">
        <v>1</v>
      </c>
      <c r="S197" s="2">
        <f t="shared" si="8"/>
        <v>175</v>
      </c>
      <c r="T197" s="4">
        <f t="shared" si="9"/>
        <v>3086.7485714285713</v>
      </c>
    </row>
    <row r="198" spans="1:20" hidden="1" x14ac:dyDescent="0.3">
      <c r="A198">
        <v>353870905000043</v>
      </c>
      <c r="B198" t="s">
        <v>217</v>
      </c>
      <c r="C198" t="s">
        <v>45</v>
      </c>
      <c r="D198">
        <v>1</v>
      </c>
      <c r="E198">
        <v>1</v>
      </c>
      <c r="F198" s="1">
        <v>481329</v>
      </c>
      <c r="G198" s="1">
        <v>479329</v>
      </c>
      <c r="H198" s="1">
        <v>2000</v>
      </c>
      <c r="I198" s="3">
        <v>0</v>
      </c>
      <c r="J198" s="3">
        <v>2</v>
      </c>
      <c r="K198" s="3">
        <v>3</v>
      </c>
      <c r="L198" s="3">
        <v>24</v>
      </c>
      <c r="M198" s="3">
        <v>52</v>
      </c>
      <c r="N198" s="3">
        <v>31</v>
      </c>
      <c r="O198" s="3">
        <v>22</v>
      </c>
      <c r="P198" s="3">
        <v>14</v>
      </c>
      <c r="Q198" s="3">
        <v>6</v>
      </c>
      <c r="R198" s="3">
        <v>2</v>
      </c>
      <c r="S198" s="2">
        <f t="shared" si="8"/>
        <v>156</v>
      </c>
      <c r="T198" s="4">
        <f t="shared" si="9"/>
        <v>3085.4423076923076</v>
      </c>
    </row>
    <row r="199" spans="1:20" hidden="1" x14ac:dyDescent="0.3">
      <c r="A199">
        <v>353870905000196</v>
      </c>
      <c r="B199" t="s">
        <v>217</v>
      </c>
      <c r="C199" t="s">
        <v>127</v>
      </c>
      <c r="D199">
        <v>1</v>
      </c>
      <c r="E199">
        <v>0</v>
      </c>
      <c r="F199" s="1">
        <v>545939</v>
      </c>
      <c r="G199" s="1">
        <v>545939</v>
      </c>
      <c r="H199" s="1">
        <v>0</v>
      </c>
      <c r="I199" s="3">
        <v>0</v>
      </c>
      <c r="J199" s="3">
        <v>1</v>
      </c>
      <c r="K199" s="3">
        <v>5</v>
      </c>
      <c r="L199" s="3">
        <v>25</v>
      </c>
      <c r="M199" s="3">
        <v>50</v>
      </c>
      <c r="N199" s="3">
        <v>40</v>
      </c>
      <c r="O199" s="3">
        <v>35</v>
      </c>
      <c r="P199" s="3">
        <v>10</v>
      </c>
      <c r="Q199" s="3">
        <v>2</v>
      </c>
      <c r="R199" s="3">
        <v>9</v>
      </c>
      <c r="S199" s="2">
        <f t="shared" si="8"/>
        <v>177</v>
      </c>
      <c r="T199" s="4">
        <f t="shared" si="9"/>
        <v>3084.4011299435028</v>
      </c>
    </row>
    <row r="200" spans="1:20" hidden="1" x14ac:dyDescent="0.3">
      <c r="A200">
        <v>353870905000443</v>
      </c>
      <c r="B200" t="s">
        <v>217</v>
      </c>
      <c r="C200" t="s">
        <v>28</v>
      </c>
      <c r="D200">
        <v>1</v>
      </c>
      <c r="E200">
        <v>0</v>
      </c>
      <c r="F200" s="1">
        <v>61439</v>
      </c>
      <c r="G200" s="1">
        <v>61439</v>
      </c>
      <c r="H200" s="1">
        <v>0</v>
      </c>
      <c r="I200" s="3">
        <v>0</v>
      </c>
      <c r="J200" s="3">
        <v>0</v>
      </c>
      <c r="K200" s="3">
        <v>1</v>
      </c>
      <c r="L200" s="3">
        <v>5</v>
      </c>
      <c r="M200" s="3">
        <v>5</v>
      </c>
      <c r="N200" s="3">
        <v>2</v>
      </c>
      <c r="O200" s="3">
        <v>4</v>
      </c>
      <c r="P200" s="3">
        <v>3</v>
      </c>
      <c r="Q200" s="3">
        <v>0</v>
      </c>
      <c r="R200" s="3">
        <v>0</v>
      </c>
      <c r="S200" s="2">
        <f t="shared" si="8"/>
        <v>20</v>
      </c>
      <c r="T200" s="4">
        <f t="shared" si="9"/>
        <v>3071.95</v>
      </c>
    </row>
    <row r="201" spans="1:20" hidden="1" x14ac:dyDescent="0.3">
      <c r="A201">
        <v>353870905000082</v>
      </c>
      <c r="B201" t="s">
        <v>217</v>
      </c>
      <c r="C201" t="s">
        <v>51</v>
      </c>
      <c r="D201">
        <v>1</v>
      </c>
      <c r="E201">
        <v>0</v>
      </c>
      <c r="F201" s="1">
        <v>653691</v>
      </c>
      <c r="G201" s="1">
        <v>653691</v>
      </c>
      <c r="H201" s="1">
        <v>0</v>
      </c>
      <c r="I201" s="3">
        <v>0</v>
      </c>
      <c r="J201" s="3">
        <v>1</v>
      </c>
      <c r="K201" s="3">
        <v>5</v>
      </c>
      <c r="L201" s="3">
        <v>24</v>
      </c>
      <c r="M201" s="3">
        <v>44</v>
      </c>
      <c r="N201" s="3">
        <v>35</v>
      </c>
      <c r="O201" s="3">
        <v>54</v>
      </c>
      <c r="P201" s="3">
        <v>34</v>
      </c>
      <c r="Q201" s="3">
        <v>8</v>
      </c>
      <c r="R201" s="3">
        <v>8</v>
      </c>
      <c r="S201" s="2">
        <f t="shared" si="8"/>
        <v>213</v>
      </c>
      <c r="T201" s="4">
        <f t="shared" si="9"/>
        <v>3068.9718309859154</v>
      </c>
    </row>
    <row r="202" spans="1:20" hidden="1" x14ac:dyDescent="0.3">
      <c r="A202">
        <v>353870905000078</v>
      </c>
      <c r="B202" t="s">
        <v>217</v>
      </c>
      <c r="C202" t="s">
        <v>167</v>
      </c>
      <c r="D202">
        <v>1</v>
      </c>
      <c r="E202">
        <v>1</v>
      </c>
      <c r="F202" s="1">
        <v>457166</v>
      </c>
      <c r="G202" s="1">
        <v>456166</v>
      </c>
      <c r="H202" s="1">
        <v>1000</v>
      </c>
      <c r="I202" s="3">
        <v>0</v>
      </c>
      <c r="J202" s="3">
        <v>0</v>
      </c>
      <c r="K202" s="3">
        <v>15</v>
      </c>
      <c r="L202" s="3">
        <v>25</v>
      </c>
      <c r="M202" s="3">
        <v>47</v>
      </c>
      <c r="N202" s="3">
        <v>23</v>
      </c>
      <c r="O202" s="3">
        <v>20</v>
      </c>
      <c r="P202" s="3">
        <v>16</v>
      </c>
      <c r="Q202" s="3">
        <v>1</v>
      </c>
      <c r="R202" s="3">
        <v>2</v>
      </c>
      <c r="S202" s="2">
        <f t="shared" si="8"/>
        <v>149</v>
      </c>
      <c r="T202" s="4">
        <f t="shared" si="9"/>
        <v>3068.2281879194629</v>
      </c>
    </row>
    <row r="203" spans="1:20" hidden="1" x14ac:dyDescent="0.3">
      <c r="A203">
        <v>353870905000240</v>
      </c>
      <c r="B203" t="s">
        <v>217</v>
      </c>
      <c r="C203" t="s">
        <v>54</v>
      </c>
      <c r="D203">
        <v>1</v>
      </c>
      <c r="E203">
        <v>0</v>
      </c>
      <c r="F203" s="1">
        <v>483890</v>
      </c>
      <c r="G203" s="1">
        <v>483890</v>
      </c>
      <c r="H203" s="1">
        <v>0</v>
      </c>
      <c r="I203" s="3">
        <v>0</v>
      </c>
      <c r="J203" s="3">
        <v>1</v>
      </c>
      <c r="K203" s="3">
        <v>9</v>
      </c>
      <c r="L203" s="3">
        <v>29</v>
      </c>
      <c r="M203" s="3">
        <v>57</v>
      </c>
      <c r="N203" s="3">
        <v>30</v>
      </c>
      <c r="O203" s="3">
        <v>24</v>
      </c>
      <c r="P203" s="3">
        <v>7</v>
      </c>
      <c r="Q203" s="3">
        <v>0</v>
      </c>
      <c r="R203" s="3">
        <v>3</v>
      </c>
      <c r="S203" s="2">
        <f t="shared" si="8"/>
        <v>160</v>
      </c>
      <c r="T203" s="4">
        <f t="shared" si="9"/>
        <v>3024.3125</v>
      </c>
    </row>
    <row r="204" spans="1:20" hidden="1" x14ac:dyDescent="0.3">
      <c r="A204">
        <v>353870905000212</v>
      </c>
      <c r="B204" t="s">
        <v>217</v>
      </c>
      <c r="C204" t="s">
        <v>167</v>
      </c>
      <c r="D204">
        <v>1</v>
      </c>
      <c r="E204">
        <v>1</v>
      </c>
      <c r="F204" s="1">
        <v>709786</v>
      </c>
      <c r="G204" s="1">
        <v>709316</v>
      </c>
      <c r="H204" s="1">
        <v>470</v>
      </c>
      <c r="I204" s="3">
        <v>1</v>
      </c>
      <c r="J204" s="3">
        <v>0</v>
      </c>
      <c r="K204" s="3">
        <v>11</v>
      </c>
      <c r="L204" s="3">
        <v>43</v>
      </c>
      <c r="M204" s="3">
        <v>94</v>
      </c>
      <c r="N204" s="3">
        <v>53</v>
      </c>
      <c r="O204" s="3">
        <v>27</v>
      </c>
      <c r="P204" s="3">
        <v>6</v>
      </c>
      <c r="Q204" s="3">
        <v>0</v>
      </c>
      <c r="R204" s="3">
        <v>3</v>
      </c>
      <c r="S204" s="2">
        <f t="shared" si="8"/>
        <v>238</v>
      </c>
      <c r="T204" s="4">
        <f t="shared" si="9"/>
        <v>2982.294117647059</v>
      </c>
    </row>
    <row r="205" spans="1:20" hidden="1" x14ac:dyDescent="0.3">
      <c r="A205">
        <v>353870905000225</v>
      </c>
      <c r="B205" t="s">
        <v>217</v>
      </c>
      <c r="C205" t="s">
        <v>157</v>
      </c>
      <c r="D205">
        <v>1</v>
      </c>
      <c r="E205">
        <v>0</v>
      </c>
      <c r="F205" s="1">
        <v>663711</v>
      </c>
      <c r="G205" s="1">
        <v>663711</v>
      </c>
      <c r="H205" s="1">
        <v>0</v>
      </c>
      <c r="I205" s="3">
        <v>0</v>
      </c>
      <c r="J205" s="3">
        <v>0</v>
      </c>
      <c r="K205" s="3">
        <v>7</v>
      </c>
      <c r="L205" s="3">
        <v>46</v>
      </c>
      <c r="M205" s="3">
        <v>99</v>
      </c>
      <c r="N205" s="3">
        <v>32</v>
      </c>
      <c r="O205" s="3">
        <v>22</v>
      </c>
      <c r="P205" s="3">
        <v>12</v>
      </c>
      <c r="Q205" s="3">
        <v>3</v>
      </c>
      <c r="R205" s="3">
        <v>2</v>
      </c>
      <c r="S205" s="2">
        <f t="shared" si="8"/>
        <v>223</v>
      </c>
      <c r="T205" s="4">
        <f t="shared" si="9"/>
        <v>2976.2825112107626</v>
      </c>
    </row>
    <row r="206" spans="1:20" hidden="1" x14ac:dyDescent="0.3">
      <c r="A206">
        <v>353870905000021</v>
      </c>
      <c r="B206" t="s">
        <v>217</v>
      </c>
      <c r="C206" t="s">
        <v>45</v>
      </c>
      <c r="D206">
        <v>1</v>
      </c>
      <c r="E206">
        <v>2</v>
      </c>
      <c r="F206" s="1">
        <v>839171</v>
      </c>
      <c r="G206" s="1">
        <v>837371</v>
      </c>
      <c r="H206" s="1">
        <v>1800</v>
      </c>
      <c r="I206" s="3">
        <v>0</v>
      </c>
      <c r="J206" s="3">
        <v>0</v>
      </c>
      <c r="K206" s="3">
        <v>8</v>
      </c>
      <c r="L206" s="3">
        <v>47</v>
      </c>
      <c r="M206" s="3">
        <v>56</v>
      </c>
      <c r="N206" s="3">
        <v>75</v>
      </c>
      <c r="O206" s="3">
        <v>48</v>
      </c>
      <c r="P206" s="3">
        <v>31</v>
      </c>
      <c r="Q206" s="3">
        <v>6</v>
      </c>
      <c r="R206" s="3">
        <v>11</v>
      </c>
      <c r="S206" s="2">
        <f t="shared" si="8"/>
        <v>282</v>
      </c>
      <c r="T206" s="4">
        <f t="shared" si="9"/>
        <v>2975.7836879432625</v>
      </c>
    </row>
    <row r="207" spans="1:20" hidden="1" x14ac:dyDescent="0.3">
      <c r="A207">
        <v>353870905000104</v>
      </c>
      <c r="B207" t="s">
        <v>217</v>
      </c>
      <c r="C207" t="s">
        <v>220</v>
      </c>
      <c r="D207">
        <v>1</v>
      </c>
      <c r="E207">
        <v>0</v>
      </c>
      <c r="F207" s="1">
        <v>624103</v>
      </c>
      <c r="G207" s="1">
        <v>624103</v>
      </c>
      <c r="H207" s="1">
        <v>0</v>
      </c>
      <c r="I207" s="3">
        <v>0</v>
      </c>
      <c r="J207" s="3">
        <v>1</v>
      </c>
      <c r="K207" s="3">
        <v>7</v>
      </c>
      <c r="L207" s="3">
        <v>34</v>
      </c>
      <c r="M207" s="3">
        <v>81</v>
      </c>
      <c r="N207" s="3">
        <v>36</v>
      </c>
      <c r="O207" s="3">
        <v>40</v>
      </c>
      <c r="P207" s="3">
        <v>8</v>
      </c>
      <c r="Q207" s="3">
        <v>1</v>
      </c>
      <c r="R207" s="3">
        <v>2</v>
      </c>
      <c r="S207" s="2">
        <f t="shared" si="8"/>
        <v>210</v>
      </c>
      <c r="T207" s="4">
        <f t="shared" si="9"/>
        <v>2971.9190476190474</v>
      </c>
    </row>
    <row r="208" spans="1:20" hidden="1" x14ac:dyDescent="0.3">
      <c r="A208">
        <v>353870905000317</v>
      </c>
      <c r="B208" t="s">
        <v>217</v>
      </c>
      <c r="C208" t="s">
        <v>114</v>
      </c>
      <c r="D208">
        <v>1</v>
      </c>
      <c r="E208">
        <v>0</v>
      </c>
      <c r="F208" s="1">
        <v>595959</v>
      </c>
      <c r="G208" s="1">
        <v>595959</v>
      </c>
      <c r="H208" s="1">
        <v>0</v>
      </c>
      <c r="I208" s="3">
        <v>2</v>
      </c>
      <c r="J208" s="3">
        <v>2</v>
      </c>
      <c r="K208" s="3">
        <v>9</v>
      </c>
      <c r="L208" s="3">
        <v>36</v>
      </c>
      <c r="M208" s="3">
        <v>73</v>
      </c>
      <c r="N208" s="3">
        <v>36</v>
      </c>
      <c r="O208" s="3">
        <v>26</v>
      </c>
      <c r="P208" s="3">
        <v>15</v>
      </c>
      <c r="Q208" s="3">
        <v>2</v>
      </c>
      <c r="R208" s="3">
        <v>1</v>
      </c>
      <c r="S208" s="2">
        <f t="shared" si="8"/>
        <v>202</v>
      </c>
      <c r="T208" s="4">
        <f t="shared" si="9"/>
        <v>2950.2920792079208</v>
      </c>
    </row>
    <row r="209" spans="1:20" hidden="1" x14ac:dyDescent="0.3">
      <c r="A209">
        <v>353870905000088</v>
      </c>
      <c r="B209" t="s">
        <v>217</v>
      </c>
      <c r="C209" t="s">
        <v>65</v>
      </c>
      <c r="D209">
        <v>1</v>
      </c>
      <c r="E209">
        <v>0</v>
      </c>
      <c r="F209" s="1">
        <v>638214</v>
      </c>
      <c r="G209" s="1">
        <v>638214</v>
      </c>
      <c r="H209" s="1">
        <v>0</v>
      </c>
      <c r="I209" s="3">
        <v>0</v>
      </c>
      <c r="J209" s="3">
        <v>2</v>
      </c>
      <c r="K209" s="3">
        <v>10</v>
      </c>
      <c r="L209" s="3">
        <v>30</v>
      </c>
      <c r="M209" s="3">
        <v>84</v>
      </c>
      <c r="N209" s="3">
        <v>48</v>
      </c>
      <c r="O209" s="3">
        <v>29</v>
      </c>
      <c r="P209" s="3">
        <v>11</v>
      </c>
      <c r="Q209" s="3">
        <v>1</v>
      </c>
      <c r="R209" s="3">
        <v>2</v>
      </c>
      <c r="S209" s="2">
        <f t="shared" si="8"/>
        <v>217</v>
      </c>
      <c r="T209" s="4">
        <f t="shared" si="9"/>
        <v>2941.0783410138247</v>
      </c>
    </row>
    <row r="210" spans="1:20" hidden="1" x14ac:dyDescent="0.3">
      <c r="A210">
        <v>353870905000194</v>
      </c>
      <c r="B210" t="s">
        <v>217</v>
      </c>
      <c r="C210" t="s">
        <v>82</v>
      </c>
      <c r="D210">
        <v>1</v>
      </c>
      <c r="E210">
        <v>0</v>
      </c>
      <c r="F210" s="1">
        <v>657199</v>
      </c>
      <c r="G210" s="1">
        <v>657199</v>
      </c>
      <c r="H210" s="1">
        <v>0</v>
      </c>
      <c r="I210" s="3">
        <v>0</v>
      </c>
      <c r="J210" s="3">
        <v>0</v>
      </c>
      <c r="K210" s="3">
        <v>9</v>
      </c>
      <c r="L210" s="3">
        <v>26</v>
      </c>
      <c r="M210" s="3">
        <v>75</v>
      </c>
      <c r="N210" s="3">
        <v>27</v>
      </c>
      <c r="O210" s="3">
        <v>33</v>
      </c>
      <c r="P210" s="3">
        <v>12</v>
      </c>
      <c r="Q210" s="3">
        <v>2</v>
      </c>
      <c r="R210" s="3">
        <v>40</v>
      </c>
      <c r="S210" s="2">
        <f t="shared" si="8"/>
        <v>224</v>
      </c>
      <c r="T210" s="4">
        <f t="shared" si="9"/>
        <v>2933.9241071428573</v>
      </c>
    </row>
    <row r="211" spans="1:20" hidden="1" x14ac:dyDescent="0.3">
      <c r="A211">
        <v>353870905000306</v>
      </c>
      <c r="B211" t="s">
        <v>217</v>
      </c>
      <c r="C211" t="s">
        <v>79</v>
      </c>
      <c r="D211">
        <v>1</v>
      </c>
      <c r="E211">
        <v>0</v>
      </c>
      <c r="F211" s="1">
        <v>514390</v>
      </c>
      <c r="G211" s="1">
        <v>514390</v>
      </c>
      <c r="H211" s="1">
        <v>0</v>
      </c>
      <c r="I211" s="3">
        <v>1</v>
      </c>
      <c r="J211" s="3">
        <v>0</v>
      </c>
      <c r="K211" s="3">
        <v>11</v>
      </c>
      <c r="L211" s="3">
        <v>30</v>
      </c>
      <c r="M211" s="3">
        <v>74</v>
      </c>
      <c r="N211" s="3">
        <v>37</v>
      </c>
      <c r="O211" s="3">
        <v>14</v>
      </c>
      <c r="P211" s="3">
        <v>1</v>
      </c>
      <c r="Q211" s="3">
        <v>3</v>
      </c>
      <c r="R211" s="3">
        <v>5</v>
      </c>
      <c r="S211" s="2">
        <f t="shared" si="8"/>
        <v>176</v>
      </c>
      <c r="T211" s="4">
        <f t="shared" si="9"/>
        <v>2922.6704545454545</v>
      </c>
    </row>
    <row r="212" spans="1:20" hidden="1" x14ac:dyDescent="0.3">
      <c r="A212">
        <v>353870905000174</v>
      </c>
      <c r="B212" t="s">
        <v>217</v>
      </c>
      <c r="C212" t="s">
        <v>62</v>
      </c>
      <c r="D212">
        <v>1</v>
      </c>
      <c r="E212">
        <v>0</v>
      </c>
      <c r="F212" s="1">
        <v>364440</v>
      </c>
      <c r="G212" s="1">
        <v>364440</v>
      </c>
      <c r="H212" s="1">
        <v>0</v>
      </c>
      <c r="I212" s="3">
        <v>0</v>
      </c>
      <c r="J212" s="3">
        <v>0</v>
      </c>
      <c r="K212" s="3">
        <v>3</v>
      </c>
      <c r="L212" s="3">
        <v>22</v>
      </c>
      <c r="M212" s="3">
        <v>63</v>
      </c>
      <c r="N212" s="3">
        <v>20</v>
      </c>
      <c r="O212" s="3">
        <v>7</v>
      </c>
      <c r="P212" s="3">
        <v>5</v>
      </c>
      <c r="Q212" s="3">
        <v>2</v>
      </c>
      <c r="R212" s="3">
        <v>3</v>
      </c>
      <c r="S212" s="2">
        <f t="shared" si="8"/>
        <v>125</v>
      </c>
      <c r="T212" s="4">
        <f t="shared" si="9"/>
        <v>2915.52</v>
      </c>
    </row>
    <row r="213" spans="1:20" hidden="1" x14ac:dyDescent="0.3">
      <c r="A213">
        <v>353870905000064</v>
      </c>
      <c r="B213" t="s">
        <v>217</v>
      </c>
      <c r="C213" t="s">
        <v>34</v>
      </c>
      <c r="D213">
        <v>1</v>
      </c>
      <c r="E213">
        <v>0</v>
      </c>
      <c r="F213" s="1">
        <v>369769</v>
      </c>
      <c r="G213" s="1">
        <v>369769</v>
      </c>
      <c r="H213" s="1">
        <v>0</v>
      </c>
      <c r="I213" s="3">
        <v>0</v>
      </c>
      <c r="J213" s="3">
        <v>1</v>
      </c>
      <c r="K213" s="3">
        <v>3</v>
      </c>
      <c r="L213" s="3">
        <v>27</v>
      </c>
      <c r="M213" s="3">
        <v>42</v>
      </c>
      <c r="N213" s="3">
        <v>26</v>
      </c>
      <c r="O213" s="3">
        <v>13</v>
      </c>
      <c r="P213" s="3">
        <v>9</v>
      </c>
      <c r="Q213" s="3">
        <v>3</v>
      </c>
      <c r="R213" s="3">
        <v>3</v>
      </c>
      <c r="S213" s="2">
        <f t="shared" si="8"/>
        <v>127</v>
      </c>
      <c r="T213" s="4">
        <f t="shared" si="9"/>
        <v>2911.5669291338581</v>
      </c>
    </row>
    <row r="214" spans="1:20" hidden="1" x14ac:dyDescent="0.3">
      <c r="A214">
        <v>353870905000501</v>
      </c>
      <c r="B214" t="s">
        <v>217</v>
      </c>
      <c r="C214" t="s">
        <v>60</v>
      </c>
      <c r="D214">
        <v>1</v>
      </c>
      <c r="E214">
        <v>0</v>
      </c>
      <c r="F214" s="1">
        <v>34930</v>
      </c>
      <c r="G214" s="1">
        <v>34930</v>
      </c>
      <c r="H214" s="1">
        <v>0</v>
      </c>
      <c r="I214" s="3">
        <v>0</v>
      </c>
      <c r="J214" s="3">
        <v>1</v>
      </c>
      <c r="K214" s="3">
        <v>1</v>
      </c>
      <c r="L214" s="3">
        <v>4</v>
      </c>
      <c r="M214" s="3">
        <v>3</v>
      </c>
      <c r="N214" s="3">
        <v>0</v>
      </c>
      <c r="O214" s="3">
        <v>1</v>
      </c>
      <c r="P214" s="3">
        <v>2</v>
      </c>
      <c r="Q214" s="3">
        <v>0</v>
      </c>
      <c r="R214" s="3">
        <v>0</v>
      </c>
      <c r="S214" s="2">
        <f t="shared" si="8"/>
        <v>12</v>
      </c>
      <c r="T214" s="4">
        <f t="shared" si="9"/>
        <v>2910.8333333333335</v>
      </c>
    </row>
    <row r="215" spans="1:20" hidden="1" x14ac:dyDescent="0.3">
      <c r="A215">
        <v>353870905000554</v>
      </c>
      <c r="B215" t="s">
        <v>217</v>
      </c>
      <c r="C215" t="s">
        <v>218</v>
      </c>
      <c r="D215">
        <v>8</v>
      </c>
      <c r="E215">
        <v>0</v>
      </c>
      <c r="F215" s="1">
        <v>122210</v>
      </c>
      <c r="G215" s="1">
        <v>122210</v>
      </c>
      <c r="H215" s="1">
        <v>0</v>
      </c>
      <c r="I215" s="3">
        <v>1</v>
      </c>
      <c r="J215" s="3">
        <v>1</v>
      </c>
      <c r="K215" s="3">
        <v>5</v>
      </c>
      <c r="L215" s="3">
        <v>14</v>
      </c>
      <c r="M215" s="3">
        <v>13</v>
      </c>
      <c r="N215" s="3">
        <v>2</v>
      </c>
      <c r="O215" s="3">
        <v>5</v>
      </c>
      <c r="P215" s="3">
        <v>0</v>
      </c>
      <c r="Q215" s="3">
        <v>1</v>
      </c>
      <c r="R215" s="3">
        <v>0</v>
      </c>
      <c r="S215" s="2">
        <f t="shared" si="8"/>
        <v>42</v>
      </c>
      <c r="T215" s="4">
        <f t="shared" si="9"/>
        <v>2909.7619047619046</v>
      </c>
    </row>
    <row r="216" spans="1:20" hidden="1" x14ac:dyDescent="0.3">
      <c r="A216">
        <v>353870905000113</v>
      </c>
      <c r="B216" t="s">
        <v>217</v>
      </c>
      <c r="C216" t="s">
        <v>140</v>
      </c>
      <c r="D216">
        <v>1</v>
      </c>
      <c r="E216">
        <v>0</v>
      </c>
      <c r="F216" s="1">
        <v>484938</v>
      </c>
      <c r="G216" s="1">
        <v>484938</v>
      </c>
      <c r="H216" s="1">
        <v>0</v>
      </c>
      <c r="I216" s="3">
        <v>0</v>
      </c>
      <c r="J216" s="3">
        <v>0</v>
      </c>
      <c r="K216" s="3">
        <v>10</v>
      </c>
      <c r="L216" s="3">
        <v>33</v>
      </c>
      <c r="M216" s="3">
        <v>59</v>
      </c>
      <c r="N216" s="3">
        <v>27</v>
      </c>
      <c r="O216" s="3">
        <v>25</v>
      </c>
      <c r="P216" s="3">
        <v>7</v>
      </c>
      <c r="Q216" s="3">
        <v>1</v>
      </c>
      <c r="R216" s="3">
        <v>5</v>
      </c>
      <c r="S216" s="2">
        <f t="shared" si="8"/>
        <v>167</v>
      </c>
      <c r="T216" s="4">
        <f t="shared" si="9"/>
        <v>2903.820359281437</v>
      </c>
    </row>
    <row r="217" spans="1:20" hidden="1" x14ac:dyDescent="0.3">
      <c r="A217">
        <v>353870905000137</v>
      </c>
      <c r="B217" t="s">
        <v>217</v>
      </c>
      <c r="C217" t="s">
        <v>54</v>
      </c>
      <c r="D217">
        <v>1</v>
      </c>
      <c r="E217">
        <v>0</v>
      </c>
      <c r="F217" s="1">
        <v>603786</v>
      </c>
      <c r="G217" s="1">
        <v>603786</v>
      </c>
      <c r="H217" s="1">
        <v>0</v>
      </c>
      <c r="I217" s="3">
        <v>0</v>
      </c>
      <c r="J217" s="3">
        <v>1</v>
      </c>
      <c r="K217" s="3">
        <v>12</v>
      </c>
      <c r="L217" s="3">
        <v>34</v>
      </c>
      <c r="M217" s="3">
        <v>81</v>
      </c>
      <c r="N217" s="3">
        <v>39</v>
      </c>
      <c r="O217" s="3">
        <v>27</v>
      </c>
      <c r="P217" s="3">
        <v>9</v>
      </c>
      <c r="Q217" s="3">
        <v>2</v>
      </c>
      <c r="R217" s="3">
        <v>3</v>
      </c>
      <c r="S217" s="2">
        <f t="shared" si="8"/>
        <v>208</v>
      </c>
      <c r="T217" s="4">
        <f t="shared" si="9"/>
        <v>2902.8173076923076</v>
      </c>
    </row>
    <row r="218" spans="1:20" hidden="1" x14ac:dyDescent="0.3">
      <c r="A218">
        <v>353870905000047</v>
      </c>
      <c r="B218" t="s">
        <v>217</v>
      </c>
      <c r="C218" t="s">
        <v>45</v>
      </c>
      <c r="D218">
        <v>1</v>
      </c>
      <c r="E218">
        <v>0</v>
      </c>
      <c r="F218" s="1">
        <v>626942</v>
      </c>
      <c r="G218" s="1">
        <v>626942</v>
      </c>
      <c r="H218" s="1">
        <v>0</v>
      </c>
      <c r="I218" s="3">
        <v>0</v>
      </c>
      <c r="J218" s="3">
        <v>1</v>
      </c>
      <c r="K218" s="3">
        <v>10</v>
      </c>
      <c r="L218" s="3">
        <v>54</v>
      </c>
      <c r="M218" s="3">
        <v>68</v>
      </c>
      <c r="N218" s="3">
        <v>29</v>
      </c>
      <c r="O218" s="3">
        <v>26</v>
      </c>
      <c r="P218" s="3">
        <v>17</v>
      </c>
      <c r="Q218" s="3">
        <v>5</v>
      </c>
      <c r="R218" s="3">
        <v>6</v>
      </c>
      <c r="S218" s="2">
        <f t="shared" si="8"/>
        <v>216</v>
      </c>
      <c r="T218" s="4">
        <f t="shared" si="9"/>
        <v>2902.5092592592591</v>
      </c>
    </row>
    <row r="219" spans="1:20" hidden="1" x14ac:dyDescent="0.3">
      <c r="A219">
        <v>353870905000471</v>
      </c>
      <c r="B219" t="s">
        <v>217</v>
      </c>
      <c r="C219" t="s">
        <v>145</v>
      </c>
      <c r="D219">
        <v>1</v>
      </c>
      <c r="E219">
        <v>0</v>
      </c>
      <c r="F219" s="1">
        <v>112800</v>
      </c>
      <c r="G219" s="1">
        <v>112800</v>
      </c>
      <c r="H219" s="1">
        <v>0</v>
      </c>
      <c r="I219" s="3">
        <v>0</v>
      </c>
      <c r="J219" s="3">
        <v>0</v>
      </c>
      <c r="K219" s="3">
        <v>0</v>
      </c>
      <c r="L219" s="3">
        <v>11</v>
      </c>
      <c r="M219" s="3">
        <v>13</v>
      </c>
      <c r="N219" s="3">
        <v>6</v>
      </c>
      <c r="O219" s="3">
        <v>8</v>
      </c>
      <c r="P219" s="3">
        <v>1</v>
      </c>
      <c r="Q219" s="3">
        <v>0</v>
      </c>
      <c r="R219" s="3">
        <v>0</v>
      </c>
      <c r="S219" s="2">
        <f t="shared" si="8"/>
        <v>39</v>
      </c>
      <c r="T219" s="4">
        <f t="shared" si="9"/>
        <v>2892.3076923076924</v>
      </c>
    </row>
    <row r="220" spans="1:20" hidden="1" x14ac:dyDescent="0.3">
      <c r="A220">
        <v>353870905000393</v>
      </c>
      <c r="B220" t="s">
        <v>217</v>
      </c>
      <c r="C220" t="s">
        <v>108</v>
      </c>
      <c r="D220">
        <v>1</v>
      </c>
      <c r="E220">
        <v>0</v>
      </c>
      <c r="F220" s="1">
        <v>1100325</v>
      </c>
      <c r="G220" s="1">
        <v>1100325</v>
      </c>
      <c r="H220" s="1">
        <v>0</v>
      </c>
      <c r="I220" s="3">
        <v>0</v>
      </c>
      <c r="J220" s="3">
        <v>3</v>
      </c>
      <c r="K220" s="3">
        <v>19</v>
      </c>
      <c r="L220" s="3">
        <v>84</v>
      </c>
      <c r="M220" s="3">
        <v>152</v>
      </c>
      <c r="N220" s="3">
        <v>57</v>
      </c>
      <c r="O220" s="3">
        <v>40</v>
      </c>
      <c r="P220" s="3">
        <v>17</v>
      </c>
      <c r="Q220" s="3">
        <v>0</v>
      </c>
      <c r="R220" s="3">
        <v>9</v>
      </c>
      <c r="S220" s="2">
        <f t="shared" si="8"/>
        <v>381</v>
      </c>
      <c r="T220" s="4">
        <f t="shared" si="9"/>
        <v>2887.9921259842517</v>
      </c>
    </row>
    <row r="221" spans="1:20" hidden="1" x14ac:dyDescent="0.3">
      <c r="A221">
        <v>353870905000373</v>
      </c>
      <c r="B221" t="s">
        <v>217</v>
      </c>
      <c r="C221" t="s">
        <v>185</v>
      </c>
      <c r="D221">
        <v>1</v>
      </c>
      <c r="E221">
        <v>0</v>
      </c>
      <c r="F221" s="1">
        <v>504939</v>
      </c>
      <c r="G221" s="1">
        <v>504939</v>
      </c>
      <c r="H221" s="1">
        <v>0</v>
      </c>
      <c r="I221" s="3">
        <v>0</v>
      </c>
      <c r="J221" s="3">
        <v>0</v>
      </c>
      <c r="K221" s="3">
        <v>9</v>
      </c>
      <c r="L221" s="3">
        <v>41</v>
      </c>
      <c r="M221" s="3">
        <v>72</v>
      </c>
      <c r="N221" s="3">
        <v>29</v>
      </c>
      <c r="O221" s="3">
        <v>16</v>
      </c>
      <c r="P221" s="3">
        <v>6</v>
      </c>
      <c r="Q221" s="3">
        <v>0</v>
      </c>
      <c r="R221" s="3">
        <v>2</v>
      </c>
      <c r="S221" s="2">
        <f t="shared" si="8"/>
        <v>175</v>
      </c>
      <c r="T221" s="4">
        <f t="shared" si="9"/>
        <v>2885.3657142857141</v>
      </c>
    </row>
    <row r="222" spans="1:20" hidden="1" x14ac:dyDescent="0.3">
      <c r="A222">
        <v>353870905000298</v>
      </c>
      <c r="B222" t="s">
        <v>217</v>
      </c>
      <c r="C222" t="s">
        <v>19</v>
      </c>
      <c r="D222">
        <v>1</v>
      </c>
      <c r="E222">
        <v>0</v>
      </c>
      <c r="F222" s="1">
        <v>1182191</v>
      </c>
      <c r="G222" s="1">
        <v>1182191</v>
      </c>
      <c r="H222" s="1">
        <v>0</v>
      </c>
      <c r="I222" s="3">
        <v>1</v>
      </c>
      <c r="J222" s="3">
        <v>2</v>
      </c>
      <c r="K222" s="3">
        <v>21</v>
      </c>
      <c r="L222" s="3">
        <v>98</v>
      </c>
      <c r="M222" s="3">
        <v>152</v>
      </c>
      <c r="N222" s="3">
        <v>77</v>
      </c>
      <c r="O222" s="3">
        <v>43</v>
      </c>
      <c r="P222" s="3">
        <v>13</v>
      </c>
      <c r="Q222" s="3">
        <v>2</v>
      </c>
      <c r="R222" s="3">
        <v>1</v>
      </c>
      <c r="S222" s="2">
        <f t="shared" si="8"/>
        <v>410</v>
      </c>
      <c r="T222" s="4">
        <f t="shared" si="9"/>
        <v>2883.3926829268294</v>
      </c>
    </row>
    <row r="223" spans="1:20" hidden="1" x14ac:dyDescent="0.3">
      <c r="A223">
        <v>353870905000089</v>
      </c>
      <c r="B223" t="s">
        <v>217</v>
      </c>
      <c r="C223" t="s">
        <v>65</v>
      </c>
      <c r="D223">
        <v>1</v>
      </c>
      <c r="E223">
        <v>0</v>
      </c>
      <c r="F223" s="1">
        <v>712567</v>
      </c>
      <c r="G223" s="1">
        <v>712567</v>
      </c>
      <c r="H223" s="1">
        <v>0</v>
      </c>
      <c r="I223" s="3">
        <v>1</v>
      </c>
      <c r="J223" s="3">
        <v>1</v>
      </c>
      <c r="K223" s="3">
        <v>4</v>
      </c>
      <c r="L223" s="3">
        <v>34</v>
      </c>
      <c r="M223" s="3">
        <v>65</v>
      </c>
      <c r="N223" s="3">
        <v>35</v>
      </c>
      <c r="O223" s="3">
        <v>53</v>
      </c>
      <c r="P223" s="3">
        <v>39</v>
      </c>
      <c r="Q223" s="3">
        <v>8</v>
      </c>
      <c r="R223" s="3">
        <v>8</v>
      </c>
      <c r="S223" s="2">
        <f t="shared" si="8"/>
        <v>248</v>
      </c>
      <c r="T223" s="4">
        <f t="shared" si="9"/>
        <v>2873.2540322580644</v>
      </c>
    </row>
    <row r="224" spans="1:20" hidden="1" x14ac:dyDescent="0.3">
      <c r="A224">
        <v>353870905000244</v>
      </c>
      <c r="B224" t="s">
        <v>217</v>
      </c>
      <c r="C224" t="s">
        <v>219</v>
      </c>
      <c r="D224">
        <v>1</v>
      </c>
      <c r="E224">
        <v>1</v>
      </c>
      <c r="F224" s="1">
        <v>547575</v>
      </c>
      <c r="G224" s="1">
        <v>547515</v>
      </c>
      <c r="H224" s="1">
        <v>60</v>
      </c>
      <c r="I224" s="3">
        <v>2</v>
      </c>
      <c r="J224" s="3">
        <v>1</v>
      </c>
      <c r="K224" s="3">
        <v>7</v>
      </c>
      <c r="L224" s="3">
        <v>33</v>
      </c>
      <c r="M224" s="3">
        <v>73</v>
      </c>
      <c r="N224" s="3">
        <v>42</v>
      </c>
      <c r="O224" s="3">
        <v>19</v>
      </c>
      <c r="P224" s="3">
        <v>11</v>
      </c>
      <c r="Q224" s="3">
        <v>0</v>
      </c>
      <c r="R224" s="3">
        <v>3</v>
      </c>
      <c r="S224" s="2">
        <f t="shared" si="8"/>
        <v>191</v>
      </c>
      <c r="T224" s="4">
        <f t="shared" si="9"/>
        <v>2866.8848167539268</v>
      </c>
    </row>
    <row r="225" spans="1:20" hidden="1" x14ac:dyDescent="0.3">
      <c r="A225">
        <v>353870905000386</v>
      </c>
      <c r="B225" t="s">
        <v>217</v>
      </c>
      <c r="C225" t="s">
        <v>108</v>
      </c>
      <c r="D225">
        <v>1</v>
      </c>
      <c r="E225">
        <v>0</v>
      </c>
      <c r="F225" s="1">
        <v>975560</v>
      </c>
      <c r="G225" s="1">
        <v>975560</v>
      </c>
      <c r="H225" s="1">
        <v>0</v>
      </c>
      <c r="I225" s="3">
        <v>0</v>
      </c>
      <c r="J225" s="3">
        <v>0</v>
      </c>
      <c r="K225" s="3">
        <v>10</v>
      </c>
      <c r="L225" s="3">
        <v>55</v>
      </c>
      <c r="M225" s="3">
        <v>144</v>
      </c>
      <c r="N225" s="3">
        <v>79</v>
      </c>
      <c r="O225" s="3">
        <v>39</v>
      </c>
      <c r="P225" s="3">
        <v>14</v>
      </c>
      <c r="Q225" s="3">
        <v>0</v>
      </c>
      <c r="R225" s="3">
        <v>0</v>
      </c>
      <c r="S225" s="2">
        <f t="shared" si="8"/>
        <v>341</v>
      </c>
      <c r="T225" s="4">
        <f t="shared" si="9"/>
        <v>2860.8797653958945</v>
      </c>
    </row>
    <row r="226" spans="1:20" hidden="1" x14ac:dyDescent="0.3">
      <c r="A226">
        <v>353870905000276</v>
      </c>
      <c r="B226" t="s">
        <v>217</v>
      </c>
      <c r="C226" t="s">
        <v>77</v>
      </c>
      <c r="D226">
        <v>1</v>
      </c>
      <c r="E226">
        <v>0</v>
      </c>
      <c r="F226" s="1">
        <v>725601</v>
      </c>
      <c r="G226" s="1">
        <v>725601</v>
      </c>
      <c r="H226" s="1">
        <v>0</v>
      </c>
      <c r="I226" s="3">
        <v>0</v>
      </c>
      <c r="J226" s="3">
        <v>1</v>
      </c>
      <c r="K226" s="3">
        <v>4</v>
      </c>
      <c r="L226" s="3">
        <v>29</v>
      </c>
      <c r="M226" s="3">
        <v>75</v>
      </c>
      <c r="N226" s="3">
        <v>68</v>
      </c>
      <c r="O226" s="3">
        <v>53</v>
      </c>
      <c r="P226" s="3">
        <v>21</v>
      </c>
      <c r="Q226" s="3">
        <v>1</v>
      </c>
      <c r="R226" s="3">
        <v>2</v>
      </c>
      <c r="S226" s="2">
        <f t="shared" si="8"/>
        <v>254</v>
      </c>
      <c r="T226" s="4">
        <f t="shared" si="9"/>
        <v>2856.696850393701</v>
      </c>
    </row>
    <row r="227" spans="1:20" hidden="1" x14ac:dyDescent="0.3">
      <c r="A227">
        <v>353870905000275</v>
      </c>
      <c r="B227" t="s">
        <v>217</v>
      </c>
      <c r="C227" t="s">
        <v>77</v>
      </c>
      <c r="D227">
        <v>1</v>
      </c>
      <c r="E227">
        <v>0</v>
      </c>
      <c r="F227" s="1">
        <v>657432</v>
      </c>
      <c r="G227" s="1">
        <v>657432</v>
      </c>
      <c r="H227" s="1">
        <v>0</v>
      </c>
      <c r="I227" s="3">
        <v>0</v>
      </c>
      <c r="J227" s="3">
        <v>1</v>
      </c>
      <c r="K227" s="3">
        <v>3</v>
      </c>
      <c r="L227" s="3">
        <v>28</v>
      </c>
      <c r="M227" s="3">
        <v>88</v>
      </c>
      <c r="N227" s="3">
        <v>60</v>
      </c>
      <c r="O227" s="3">
        <v>29</v>
      </c>
      <c r="P227" s="3">
        <v>18</v>
      </c>
      <c r="Q227" s="3">
        <v>2</v>
      </c>
      <c r="R227" s="3">
        <v>2</v>
      </c>
      <c r="S227" s="2">
        <f t="shared" si="8"/>
        <v>231</v>
      </c>
      <c r="T227" s="4">
        <f t="shared" si="9"/>
        <v>2846.0259740259739</v>
      </c>
    </row>
    <row r="228" spans="1:20" hidden="1" x14ac:dyDescent="0.3">
      <c r="A228">
        <v>353870905000414</v>
      </c>
      <c r="B228" t="s">
        <v>217</v>
      </c>
      <c r="C228" t="s">
        <v>65</v>
      </c>
      <c r="D228">
        <v>1</v>
      </c>
      <c r="E228">
        <v>0</v>
      </c>
      <c r="F228" s="1">
        <v>503056</v>
      </c>
      <c r="G228" s="1">
        <v>503056</v>
      </c>
      <c r="H228" s="1">
        <v>0</v>
      </c>
      <c r="I228" s="3">
        <v>0</v>
      </c>
      <c r="J228" s="3">
        <v>0</v>
      </c>
      <c r="K228" s="3">
        <v>8</v>
      </c>
      <c r="L228" s="3">
        <v>38</v>
      </c>
      <c r="M228" s="3">
        <v>73</v>
      </c>
      <c r="N228" s="3">
        <v>26</v>
      </c>
      <c r="O228" s="3">
        <v>21</v>
      </c>
      <c r="P228" s="3">
        <v>8</v>
      </c>
      <c r="Q228" s="3">
        <v>1</v>
      </c>
      <c r="R228" s="3">
        <v>2</v>
      </c>
      <c r="S228" s="2">
        <f t="shared" si="8"/>
        <v>177</v>
      </c>
      <c r="T228" s="4">
        <f t="shared" si="9"/>
        <v>2842.1242937853108</v>
      </c>
    </row>
    <row r="229" spans="1:20" hidden="1" x14ac:dyDescent="0.3">
      <c r="A229">
        <v>353870905000165</v>
      </c>
      <c r="B229" t="s">
        <v>217</v>
      </c>
      <c r="C229" t="s">
        <v>135</v>
      </c>
      <c r="D229">
        <v>1</v>
      </c>
      <c r="E229">
        <v>0</v>
      </c>
      <c r="F229" s="1">
        <v>571644</v>
      </c>
      <c r="G229" s="1">
        <v>571644</v>
      </c>
      <c r="H229" s="1">
        <v>0</v>
      </c>
      <c r="I229" s="3">
        <v>1</v>
      </c>
      <c r="J229" s="3">
        <v>1</v>
      </c>
      <c r="K229" s="3">
        <v>10</v>
      </c>
      <c r="L229" s="3">
        <v>53</v>
      </c>
      <c r="M229" s="3">
        <v>78</v>
      </c>
      <c r="N229" s="3">
        <v>26</v>
      </c>
      <c r="O229" s="3">
        <v>19</v>
      </c>
      <c r="P229" s="3">
        <v>10</v>
      </c>
      <c r="Q229" s="3">
        <v>2</v>
      </c>
      <c r="R229" s="3">
        <v>2</v>
      </c>
      <c r="S229" s="2">
        <f t="shared" si="8"/>
        <v>202</v>
      </c>
      <c r="T229" s="4">
        <f t="shared" si="9"/>
        <v>2829.9207920792078</v>
      </c>
    </row>
    <row r="230" spans="1:20" hidden="1" x14ac:dyDescent="0.3">
      <c r="A230">
        <v>353870905000048</v>
      </c>
      <c r="B230" t="s">
        <v>217</v>
      </c>
      <c r="C230" t="s">
        <v>45</v>
      </c>
      <c r="D230">
        <v>1</v>
      </c>
      <c r="E230">
        <v>0</v>
      </c>
      <c r="F230" s="1">
        <v>558766</v>
      </c>
      <c r="G230" s="1">
        <v>558766</v>
      </c>
      <c r="H230" s="1">
        <v>0</v>
      </c>
      <c r="I230" s="3">
        <v>0</v>
      </c>
      <c r="J230" s="3">
        <v>0</v>
      </c>
      <c r="K230" s="3">
        <v>6</v>
      </c>
      <c r="L230" s="3">
        <v>32</v>
      </c>
      <c r="M230" s="3">
        <v>80</v>
      </c>
      <c r="N230" s="3">
        <v>42</v>
      </c>
      <c r="O230" s="3">
        <v>21</v>
      </c>
      <c r="P230" s="3">
        <v>11</v>
      </c>
      <c r="Q230" s="3">
        <v>4</v>
      </c>
      <c r="R230" s="3">
        <v>2</v>
      </c>
      <c r="S230" s="2">
        <f t="shared" si="8"/>
        <v>198</v>
      </c>
      <c r="T230" s="4">
        <f t="shared" si="9"/>
        <v>2822.0505050505049</v>
      </c>
    </row>
    <row r="231" spans="1:20" hidden="1" x14ac:dyDescent="0.3">
      <c r="A231">
        <v>353870905000151</v>
      </c>
      <c r="B231" t="s">
        <v>217</v>
      </c>
      <c r="C231" t="s">
        <v>74</v>
      </c>
      <c r="D231">
        <v>1</v>
      </c>
      <c r="E231">
        <v>0</v>
      </c>
      <c r="F231" s="1">
        <v>354371</v>
      </c>
      <c r="G231" s="1">
        <v>354371</v>
      </c>
      <c r="H231" s="1">
        <v>0</v>
      </c>
      <c r="I231" s="3">
        <v>1</v>
      </c>
      <c r="J231" s="3">
        <v>4</v>
      </c>
      <c r="K231" s="3">
        <v>10</v>
      </c>
      <c r="L231" s="3">
        <v>31</v>
      </c>
      <c r="M231" s="3">
        <v>44</v>
      </c>
      <c r="N231" s="3">
        <v>17</v>
      </c>
      <c r="O231" s="3">
        <v>10</v>
      </c>
      <c r="P231" s="3">
        <v>5</v>
      </c>
      <c r="Q231" s="3">
        <v>2</v>
      </c>
      <c r="R231" s="3">
        <v>2</v>
      </c>
      <c r="S231" s="2">
        <f t="shared" si="8"/>
        <v>126</v>
      </c>
      <c r="T231" s="4">
        <f t="shared" si="9"/>
        <v>2812.468253968254</v>
      </c>
    </row>
    <row r="232" spans="1:20" hidden="1" x14ac:dyDescent="0.3">
      <c r="A232">
        <v>353870905000130</v>
      </c>
      <c r="B232" t="s">
        <v>217</v>
      </c>
      <c r="C232" t="s">
        <v>71</v>
      </c>
      <c r="D232">
        <v>1</v>
      </c>
      <c r="E232">
        <v>0</v>
      </c>
      <c r="F232" s="1">
        <v>423623</v>
      </c>
      <c r="G232" s="1">
        <v>423623</v>
      </c>
      <c r="H232" s="1">
        <v>0</v>
      </c>
      <c r="I232" s="3">
        <v>0</v>
      </c>
      <c r="J232" s="3">
        <v>0</v>
      </c>
      <c r="K232" s="3">
        <v>10</v>
      </c>
      <c r="L232" s="3">
        <v>27</v>
      </c>
      <c r="M232" s="3">
        <v>50</v>
      </c>
      <c r="N232" s="3">
        <v>31</v>
      </c>
      <c r="O232" s="3">
        <v>13</v>
      </c>
      <c r="P232" s="3">
        <v>11</v>
      </c>
      <c r="Q232" s="3">
        <v>4</v>
      </c>
      <c r="R232" s="3">
        <v>5</v>
      </c>
      <c r="S232" s="2">
        <f t="shared" si="8"/>
        <v>151</v>
      </c>
      <c r="T232" s="4">
        <f t="shared" si="9"/>
        <v>2805.4503311258277</v>
      </c>
    </row>
    <row r="233" spans="1:20" hidden="1" x14ac:dyDescent="0.3">
      <c r="A233">
        <v>353870915000008</v>
      </c>
      <c r="B233" t="s">
        <v>217</v>
      </c>
      <c r="C233" t="s">
        <v>218</v>
      </c>
      <c r="D233">
        <v>7</v>
      </c>
      <c r="E233">
        <v>0</v>
      </c>
      <c r="F233" s="1">
        <v>36466</v>
      </c>
      <c r="G233" s="1">
        <v>36466</v>
      </c>
      <c r="H233" s="1">
        <v>0</v>
      </c>
      <c r="I233" s="3">
        <v>0</v>
      </c>
      <c r="J233" s="3">
        <v>0</v>
      </c>
      <c r="K233" s="3">
        <v>0</v>
      </c>
      <c r="L233" s="3">
        <v>1</v>
      </c>
      <c r="M233" s="3">
        <v>6</v>
      </c>
      <c r="N233" s="3">
        <v>1</v>
      </c>
      <c r="O233" s="3">
        <v>3</v>
      </c>
      <c r="P233" s="3">
        <v>1</v>
      </c>
      <c r="Q233" s="3">
        <v>0</v>
      </c>
      <c r="R233" s="3">
        <v>1</v>
      </c>
      <c r="S233" s="2">
        <f t="shared" si="8"/>
        <v>13</v>
      </c>
      <c r="T233" s="4">
        <f t="shared" si="9"/>
        <v>2805.0769230769229</v>
      </c>
    </row>
    <row r="234" spans="1:20" hidden="1" x14ac:dyDescent="0.3">
      <c r="A234">
        <v>353870905000307</v>
      </c>
      <c r="B234" t="s">
        <v>217</v>
      </c>
      <c r="C234" t="s">
        <v>79</v>
      </c>
      <c r="D234">
        <v>1</v>
      </c>
      <c r="E234">
        <v>1</v>
      </c>
      <c r="F234" s="1">
        <v>568400</v>
      </c>
      <c r="G234" s="1">
        <v>566900</v>
      </c>
      <c r="H234" s="1">
        <v>1500</v>
      </c>
      <c r="I234" s="3">
        <v>0</v>
      </c>
      <c r="J234" s="3">
        <v>1</v>
      </c>
      <c r="K234" s="3">
        <v>7</v>
      </c>
      <c r="L234" s="3">
        <v>40</v>
      </c>
      <c r="M234" s="3">
        <v>91</v>
      </c>
      <c r="N234" s="3">
        <v>36</v>
      </c>
      <c r="O234" s="3">
        <v>21</v>
      </c>
      <c r="P234" s="3">
        <v>4</v>
      </c>
      <c r="Q234" s="3">
        <v>0</v>
      </c>
      <c r="R234" s="3">
        <v>3</v>
      </c>
      <c r="S234" s="2">
        <f t="shared" si="8"/>
        <v>203</v>
      </c>
      <c r="T234" s="4">
        <f t="shared" si="9"/>
        <v>2800</v>
      </c>
    </row>
    <row r="235" spans="1:20" hidden="1" x14ac:dyDescent="0.3">
      <c r="A235">
        <v>353870905000086</v>
      </c>
      <c r="B235" t="s">
        <v>217</v>
      </c>
      <c r="C235" t="s">
        <v>51</v>
      </c>
      <c r="D235">
        <v>1</v>
      </c>
      <c r="E235">
        <v>0</v>
      </c>
      <c r="F235" s="1">
        <v>618139</v>
      </c>
      <c r="G235" s="1">
        <v>618139</v>
      </c>
      <c r="H235" s="1">
        <v>0</v>
      </c>
      <c r="I235" s="3">
        <v>0</v>
      </c>
      <c r="J235" s="3">
        <v>1</v>
      </c>
      <c r="K235" s="3">
        <v>9</v>
      </c>
      <c r="L235" s="3">
        <v>45</v>
      </c>
      <c r="M235" s="3">
        <v>73</v>
      </c>
      <c r="N235" s="3">
        <v>40</v>
      </c>
      <c r="O235" s="3">
        <v>39</v>
      </c>
      <c r="P235" s="3">
        <v>12</v>
      </c>
      <c r="Q235" s="3">
        <v>2</v>
      </c>
      <c r="R235" s="3">
        <v>1</v>
      </c>
      <c r="S235" s="2">
        <f t="shared" si="8"/>
        <v>222</v>
      </c>
      <c r="T235" s="4">
        <f t="shared" si="9"/>
        <v>2784.4099099099099</v>
      </c>
    </row>
    <row r="236" spans="1:20" hidden="1" x14ac:dyDescent="0.3">
      <c r="A236">
        <v>353870905000124</v>
      </c>
      <c r="B236" t="s">
        <v>217</v>
      </c>
      <c r="C236" t="s">
        <v>140</v>
      </c>
      <c r="D236">
        <v>1</v>
      </c>
      <c r="E236">
        <v>0</v>
      </c>
      <c r="F236" s="1">
        <v>272462</v>
      </c>
      <c r="G236" s="1">
        <v>272462</v>
      </c>
      <c r="H236" s="1">
        <v>0</v>
      </c>
      <c r="I236" s="3">
        <v>0</v>
      </c>
      <c r="J236" s="3">
        <v>2</v>
      </c>
      <c r="K236" s="3">
        <v>5</v>
      </c>
      <c r="L236" s="3">
        <v>17</v>
      </c>
      <c r="M236" s="3">
        <v>35</v>
      </c>
      <c r="N236" s="3">
        <v>23</v>
      </c>
      <c r="O236" s="3">
        <v>9</v>
      </c>
      <c r="P236" s="3">
        <v>7</v>
      </c>
      <c r="Q236" s="3">
        <v>0</v>
      </c>
      <c r="R236" s="3">
        <v>0</v>
      </c>
      <c r="S236" s="2">
        <f t="shared" si="8"/>
        <v>98</v>
      </c>
      <c r="T236" s="4">
        <f t="shared" si="9"/>
        <v>2780.2244897959185</v>
      </c>
    </row>
    <row r="237" spans="1:20" hidden="1" x14ac:dyDescent="0.3">
      <c r="A237">
        <v>353870935000073</v>
      </c>
      <c r="B237" t="s">
        <v>217</v>
      </c>
      <c r="C237" t="s">
        <v>161</v>
      </c>
      <c r="D237">
        <v>2</v>
      </c>
      <c r="E237">
        <v>0</v>
      </c>
      <c r="F237" s="1">
        <v>174120</v>
      </c>
      <c r="G237" s="1">
        <v>174120</v>
      </c>
      <c r="H237" s="1">
        <v>0</v>
      </c>
      <c r="I237" s="3">
        <v>0</v>
      </c>
      <c r="J237" s="3">
        <v>0</v>
      </c>
      <c r="K237" s="3">
        <v>3</v>
      </c>
      <c r="L237" s="3">
        <v>16</v>
      </c>
      <c r="M237" s="3">
        <v>25</v>
      </c>
      <c r="N237" s="3">
        <v>13</v>
      </c>
      <c r="O237" s="3">
        <v>3</v>
      </c>
      <c r="P237" s="3">
        <v>2</v>
      </c>
      <c r="Q237" s="3">
        <v>0</v>
      </c>
      <c r="R237" s="3">
        <v>1</v>
      </c>
      <c r="S237" s="2">
        <f t="shared" si="8"/>
        <v>63</v>
      </c>
      <c r="T237" s="4">
        <f t="shared" si="9"/>
        <v>2763.8095238095239</v>
      </c>
    </row>
    <row r="238" spans="1:20" hidden="1" x14ac:dyDescent="0.3">
      <c r="A238">
        <v>353870905000385</v>
      </c>
      <c r="B238" t="s">
        <v>217</v>
      </c>
      <c r="C238" t="s">
        <v>108</v>
      </c>
      <c r="D238">
        <v>1</v>
      </c>
      <c r="E238">
        <v>0</v>
      </c>
      <c r="F238" s="1">
        <v>113260</v>
      </c>
      <c r="G238" s="1">
        <v>113260</v>
      </c>
      <c r="H238" s="1">
        <v>0</v>
      </c>
      <c r="I238" s="3">
        <v>0</v>
      </c>
      <c r="J238" s="3">
        <v>0</v>
      </c>
      <c r="K238" s="3">
        <v>1</v>
      </c>
      <c r="L238" s="3">
        <v>9</v>
      </c>
      <c r="M238" s="3">
        <v>13</v>
      </c>
      <c r="N238" s="3">
        <v>9</v>
      </c>
      <c r="O238" s="3">
        <v>5</v>
      </c>
      <c r="P238" s="3">
        <v>3</v>
      </c>
      <c r="Q238" s="3">
        <v>0</v>
      </c>
      <c r="R238" s="3">
        <v>1</v>
      </c>
      <c r="S238" s="2">
        <f t="shared" si="8"/>
        <v>41</v>
      </c>
      <c r="T238" s="4">
        <f t="shared" si="9"/>
        <v>2762.439024390244</v>
      </c>
    </row>
    <row r="239" spans="1:20" hidden="1" x14ac:dyDescent="0.3">
      <c r="A239">
        <v>353870905000415</v>
      </c>
      <c r="B239" t="s">
        <v>217</v>
      </c>
      <c r="C239" t="s">
        <v>65</v>
      </c>
      <c r="D239">
        <v>1</v>
      </c>
      <c r="E239">
        <v>0</v>
      </c>
      <c r="F239" s="1">
        <v>396889</v>
      </c>
      <c r="G239" s="1">
        <v>396889</v>
      </c>
      <c r="H239" s="1">
        <v>0</v>
      </c>
      <c r="I239" s="3">
        <v>1</v>
      </c>
      <c r="J239" s="3">
        <v>4</v>
      </c>
      <c r="K239" s="3">
        <v>6</v>
      </c>
      <c r="L239" s="3">
        <v>38</v>
      </c>
      <c r="M239" s="3">
        <v>56</v>
      </c>
      <c r="N239" s="3">
        <v>19</v>
      </c>
      <c r="O239" s="3">
        <v>11</v>
      </c>
      <c r="P239" s="3">
        <v>4</v>
      </c>
      <c r="Q239" s="3">
        <v>2</v>
      </c>
      <c r="R239" s="3">
        <v>3</v>
      </c>
      <c r="S239" s="2">
        <f t="shared" si="8"/>
        <v>144</v>
      </c>
      <c r="T239" s="4">
        <f t="shared" si="9"/>
        <v>2756.1736111111113</v>
      </c>
    </row>
    <row r="240" spans="1:20" hidden="1" x14ac:dyDescent="0.3">
      <c r="A240">
        <v>353870905000311</v>
      </c>
      <c r="B240" t="s">
        <v>217</v>
      </c>
      <c r="C240" t="s">
        <v>79</v>
      </c>
      <c r="D240">
        <v>1</v>
      </c>
      <c r="E240">
        <v>0</v>
      </c>
      <c r="F240" s="1">
        <v>495817</v>
      </c>
      <c r="G240" s="1">
        <v>495817</v>
      </c>
      <c r="H240" s="1">
        <v>0</v>
      </c>
      <c r="I240" s="3">
        <v>0</v>
      </c>
      <c r="J240" s="3">
        <v>1</v>
      </c>
      <c r="K240" s="3">
        <v>4</v>
      </c>
      <c r="L240" s="3">
        <v>44</v>
      </c>
      <c r="M240" s="3">
        <v>74</v>
      </c>
      <c r="N240" s="3">
        <v>35</v>
      </c>
      <c r="O240" s="3">
        <v>19</v>
      </c>
      <c r="P240" s="3">
        <v>3</v>
      </c>
      <c r="Q240" s="3">
        <v>0</v>
      </c>
      <c r="R240" s="3">
        <v>0</v>
      </c>
      <c r="S240" s="2">
        <f t="shared" si="8"/>
        <v>180</v>
      </c>
      <c r="T240" s="4">
        <f t="shared" si="9"/>
        <v>2754.5388888888888</v>
      </c>
    </row>
    <row r="241" spans="1:20" hidden="1" x14ac:dyDescent="0.3">
      <c r="A241">
        <v>353870935000062</v>
      </c>
      <c r="B241" t="s">
        <v>217</v>
      </c>
      <c r="C241" t="s">
        <v>147</v>
      </c>
      <c r="D241">
        <v>1</v>
      </c>
      <c r="E241">
        <v>0</v>
      </c>
      <c r="F241" s="1">
        <v>365329</v>
      </c>
      <c r="G241" s="1">
        <v>365329</v>
      </c>
      <c r="H241" s="1">
        <v>0</v>
      </c>
      <c r="I241" s="3">
        <v>0</v>
      </c>
      <c r="J241" s="3">
        <v>1</v>
      </c>
      <c r="K241" s="3">
        <v>4</v>
      </c>
      <c r="L241" s="3">
        <v>31</v>
      </c>
      <c r="M241" s="3">
        <v>63</v>
      </c>
      <c r="N241" s="3">
        <v>21</v>
      </c>
      <c r="O241" s="3">
        <v>11</v>
      </c>
      <c r="P241" s="3">
        <v>1</v>
      </c>
      <c r="Q241" s="3">
        <v>0</v>
      </c>
      <c r="R241" s="3">
        <v>1</v>
      </c>
      <c r="S241" s="2">
        <f t="shared" si="8"/>
        <v>133</v>
      </c>
      <c r="T241" s="4">
        <f t="shared" si="9"/>
        <v>2746.8345864661655</v>
      </c>
    </row>
    <row r="242" spans="1:20" hidden="1" x14ac:dyDescent="0.3">
      <c r="A242">
        <v>353870905000251</v>
      </c>
      <c r="B242" t="s">
        <v>217</v>
      </c>
      <c r="C242" t="s">
        <v>116</v>
      </c>
      <c r="D242">
        <v>1</v>
      </c>
      <c r="E242">
        <v>1</v>
      </c>
      <c r="F242" s="1">
        <v>526045</v>
      </c>
      <c r="G242" s="1">
        <v>523825</v>
      </c>
      <c r="H242" s="1">
        <v>2220</v>
      </c>
      <c r="I242" s="3">
        <v>2</v>
      </c>
      <c r="J242" s="3">
        <v>2</v>
      </c>
      <c r="K242" s="3">
        <v>19</v>
      </c>
      <c r="L242" s="3">
        <v>43</v>
      </c>
      <c r="M242" s="3">
        <v>73</v>
      </c>
      <c r="N242" s="3">
        <v>22</v>
      </c>
      <c r="O242" s="3">
        <v>21</v>
      </c>
      <c r="P242" s="3">
        <v>9</v>
      </c>
      <c r="Q242" s="3">
        <v>0</v>
      </c>
      <c r="R242" s="3">
        <v>1</v>
      </c>
      <c r="S242" s="2">
        <f t="shared" si="8"/>
        <v>192</v>
      </c>
      <c r="T242" s="4">
        <f t="shared" si="9"/>
        <v>2739.8177083333335</v>
      </c>
    </row>
    <row r="243" spans="1:20" hidden="1" x14ac:dyDescent="0.3">
      <c r="A243">
        <v>353870905000313</v>
      </c>
      <c r="B243" t="s">
        <v>217</v>
      </c>
      <c r="C243" t="s">
        <v>114</v>
      </c>
      <c r="D243">
        <v>1</v>
      </c>
      <c r="E243">
        <v>0</v>
      </c>
      <c r="F243" s="1">
        <v>435093</v>
      </c>
      <c r="G243" s="1">
        <v>435093</v>
      </c>
      <c r="H243" s="1">
        <v>0</v>
      </c>
      <c r="I243" s="3">
        <v>0</v>
      </c>
      <c r="J243" s="3">
        <v>4</v>
      </c>
      <c r="K243" s="3">
        <v>4</v>
      </c>
      <c r="L243" s="3">
        <v>28</v>
      </c>
      <c r="M243" s="3">
        <v>69</v>
      </c>
      <c r="N243" s="3">
        <v>24</v>
      </c>
      <c r="O243" s="3">
        <v>23</v>
      </c>
      <c r="P243" s="3">
        <v>6</v>
      </c>
      <c r="Q243" s="3">
        <v>0</v>
      </c>
      <c r="R243" s="3">
        <v>1</v>
      </c>
      <c r="S243" s="2">
        <f t="shared" si="8"/>
        <v>159</v>
      </c>
      <c r="T243" s="4">
        <f t="shared" si="9"/>
        <v>2736.433962264151</v>
      </c>
    </row>
    <row r="244" spans="1:20" hidden="1" x14ac:dyDescent="0.3">
      <c r="A244">
        <v>353870905000147</v>
      </c>
      <c r="B244" t="s">
        <v>217</v>
      </c>
      <c r="C244" t="s">
        <v>31</v>
      </c>
      <c r="D244">
        <v>1</v>
      </c>
      <c r="E244">
        <v>0</v>
      </c>
      <c r="F244" s="1">
        <v>617876</v>
      </c>
      <c r="G244" s="1">
        <v>617876</v>
      </c>
      <c r="H244" s="1">
        <v>0</v>
      </c>
      <c r="I244" s="3">
        <v>0</v>
      </c>
      <c r="J244" s="3">
        <v>2</v>
      </c>
      <c r="K244" s="3">
        <v>9</v>
      </c>
      <c r="L244" s="3">
        <v>36</v>
      </c>
      <c r="M244" s="3">
        <v>99</v>
      </c>
      <c r="N244" s="3">
        <v>36</v>
      </c>
      <c r="O244" s="3">
        <v>28</v>
      </c>
      <c r="P244" s="3">
        <v>12</v>
      </c>
      <c r="Q244" s="3">
        <v>3</v>
      </c>
      <c r="R244" s="3">
        <v>1</v>
      </c>
      <c r="S244" s="2">
        <f t="shared" si="8"/>
        <v>226</v>
      </c>
      <c r="T244" s="4">
        <f t="shared" si="9"/>
        <v>2733.9646017699115</v>
      </c>
    </row>
    <row r="245" spans="1:20" hidden="1" x14ac:dyDescent="0.3">
      <c r="A245">
        <v>353870905000421</v>
      </c>
      <c r="B245" t="s">
        <v>217</v>
      </c>
      <c r="C245" t="s">
        <v>102</v>
      </c>
      <c r="D245">
        <v>1</v>
      </c>
      <c r="E245">
        <v>0</v>
      </c>
      <c r="F245" s="1">
        <v>956818</v>
      </c>
      <c r="G245" s="1">
        <v>956818</v>
      </c>
      <c r="H245" s="1">
        <v>0</v>
      </c>
      <c r="I245" s="3">
        <v>0</v>
      </c>
      <c r="J245" s="3">
        <v>3</v>
      </c>
      <c r="K245" s="3">
        <v>30</v>
      </c>
      <c r="L245" s="3">
        <v>86</v>
      </c>
      <c r="M245" s="3">
        <v>154</v>
      </c>
      <c r="N245" s="3">
        <v>48</v>
      </c>
      <c r="O245" s="3">
        <v>20</v>
      </c>
      <c r="P245" s="3">
        <v>4</v>
      </c>
      <c r="Q245" s="3">
        <v>1</v>
      </c>
      <c r="R245" s="3">
        <v>4</v>
      </c>
      <c r="S245" s="2">
        <f t="shared" si="8"/>
        <v>350</v>
      </c>
      <c r="T245" s="4">
        <f t="shared" si="9"/>
        <v>2733.7657142857142</v>
      </c>
    </row>
    <row r="246" spans="1:20" hidden="1" x14ac:dyDescent="0.3">
      <c r="A246">
        <v>353870905000392</v>
      </c>
      <c r="B246" t="s">
        <v>217</v>
      </c>
      <c r="C246" t="s">
        <v>108</v>
      </c>
      <c r="D246">
        <v>1</v>
      </c>
      <c r="E246">
        <v>0</v>
      </c>
      <c r="F246" s="1">
        <v>431169</v>
      </c>
      <c r="G246" s="1">
        <v>431169</v>
      </c>
      <c r="H246" s="1">
        <v>0</v>
      </c>
      <c r="I246" s="3">
        <v>0</v>
      </c>
      <c r="J246" s="3">
        <v>1</v>
      </c>
      <c r="K246" s="3">
        <v>4</v>
      </c>
      <c r="L246" s="3">
        <v>41</v>
      </c>
      <c r="M246" s="3">
        <v>67</v>
      </c>
      <c r="N246" s="3">
        <v>23</v>
      </c>
      <c r="O246" s="3">
        <v>16</v>
      </c>
      <c r="P246" s="3">
        <v>5</v>
      </c>
      <c r="Q246" s="3">
        <v>0</v>
      </c>
      <c r="R246" s="3">
        <v>1</v>
      </c>
      <c r="S246" s="2">
        <f t="shared" si="8"/>
        <v>158</v>
      </c>
      <c r="T246" s="4">
        <f t="shared" si="9"/>
        <v>2728.9177215189875</v>
      </c>
    </row>
    <row r="247" spans="1:20" hidden="1" x14ac:dyDescent="0.3">
      <c r="A247">
        <v>353870905000416</v>
      </c>
      <c r="B247" t="s">
        <v>217</v>
      </c>
      <c r="C247" t="s">
        <v>111</v>
      </c>
      <c r="D247">
        <v>2</v>
      </c>
      <c r="E247">
        <v>0</v>
      </c>
      <c r="F247" s="1">
        <v>201871</v>
      </c>
      <c r="G247" s="1">
        <v>201871</v>
      </c>
      <c r="H247" s="1">
        <v>0</v>
      </c>
      <c r="I247" s="3">
        <v>0</v>
      </c>
      <c r="J247" s="3">
        <v>0</v>
      </c>
      <c r="K247" s="3">
        <v>5</v>
      </c>
      <c r="L247" s="3">
        <v>19</v>
      </c>
      <c r="M247" s="3">
        <v>26</v>
      </c>
      <c r="N247" s="3">
        <v>10</v>
      </c>
      <c r="O247" s="3">
        <v>10</v>
      </c>
      <c r="P247" s="3">
        <v>2</v>
      </c>
      <c r="Q247" s="3">
        <v>1</v>
      </c>
      <c r="R247" s="3">
        <v>1</v>
      </c>
      <c r="S247" s="2">
        <f t="shared" si="8"/>
        <v>74</v>
      </c>
      <c r="T247" s="4">
        <f t="shared" si="9"/>
        <v>2727.9864864864867</v>
      </c>
    </row>
    <row r="248" spans="1:20" hidden="1" x14ac:dyDescent="0.3">
      <c r="A248">
        <v>353870905000502</v>
      </c>
      <c r="B248" t="s">
        <v>217</v>
      </c>
      <c r="C248" t="s">
        <v>60</v>
      </c>
      <c r="D248">
        <v>1</v>
      </c>
      <c r="E248">
        <v>0</v>
      </c>
      <c r="F248" s="1">
        <v>19081</v>
      </c>
      <c r="G248" s="1">
        <v>19081</v>
      </c>
      <c r="H248" s="1">
        <v>0</v>
      </c>
      <c r="I248" s="3">
        <v>0</v>
      </c>
      <c r="J248" s="3">
        <v>0</v>
      </c>
      <c r="K248" s="3">
        <v>0</v>
      </c>
      <c r="L248" s="3">
        <v>2</v>
      </c>
      <c r="M248" s="3">
        <v>2</v>
      </c>
      <c r="N248" s="3">
        <v>2</v>
      </c>
      <c r="O248" s="3">
        <v>0</v>
      </c>
      <c r="P248" s="3">
        <v>1</v>
      </c>
      <c r="Q248" s="3">
        <v>0</v>
      </c>
      <c r="R248" s="3">
        <v>0</v>
      </c>
      <c r="S248" s="2">
        <f t="shared" si="8"/>
        <v>7</v>
      </c>
      <c r="T248" s="4">
        <f t="shared" si="9"/>
        <v>2725.8571428571427</v>
      </c>
    </row>
    <row r="249" spans="1:20" hidden="1" x14ac:dyDescent="0.3">
      <c r="A249">
        <v>353870905000220</v>
      </c>
      <c r="B249" t="s">
        <v>217</v>
      </c>
      <c r="C249" t="s">
        <v>129</v>
      </c>
      <c r="D249">
        <v>1</v>
      </c>
      <c r="E249">
        <v>0</v>
      </c>
      <c r="F249" s="1">
        <v>615555</v>
      </c>
      <c r="G249" s="1">
        <v>615555</v>
      </c>
      <c r="H249" s="1">
        <v>0</v>
      </c>
      <c r="I249" s="3">
        <v>0</v>
      </c>
      <c r="J249" s="3">
        <v>5</v>
      </c>
      <c r="K249" s="3">
        <v>16</v>
      </c>
      <c r="L249" s="3">
        <v>46</v>
      </c>
      <c r="M249" s="3">
        <v>88</v>
      </c>
      <c r="N249" s="3">
        <v>49</v>
      </c>
      <c r="O249" s="3">
        <v>12</v>
      </c>
      <c r="P249" s="3">
        <v>4</v>
      </c>
      <c r="Q249" s="3">
        <v>2</v>
      </c>
      <c r="R249" s="3">
        <v>4</v>
      </c>
      <c r="S249" s="2">
        <f t="shared" si="8"/>
        <v>226</v>
      </c>
      <c r="T249" s="4">
        <f t="shared" si="9"/>
        <v>2723.6946902654868</v>
      </c>
    </row>
    <row r="250" spans="1:20" hidden="1" x14ac:dyDescent="0.3">
      <c r="A250">
        <v>353870905000300</v>
      </c>
      <c r="B250" t="s">
        <v>217</v>
      </c>
      <c r="C250" t="s">
        <v>19</v>
      </c>
      <c r="D250">
        <v>1</v>
      </c>
      <c r="E250">
        <v>0</v>
      </c>
      <c r="F250" s="1">
        <v>925436</v>
      </c>
      <c r="G250" s="1">
        <v>925436</v>
      </c>
      <c r="H250" s="1">
        <v>0</v>
      </c>
      <c r="I250" s="3">
        <v>1</v>
      </c>
      <c r="J250" s="3">
        <v>4</v>
      </c>
      <c r="K250" s="3">
        <v>23</v>
      </c>
      <c r="L250" s="3">
        <v>85</v>
      </c>
      <c r="M250" s="3">
        <v>127</v>
      </c>
      <c r="N250" s="3">
        <v>49</v>
      </c>
      <c r="O250" s="3">
        <v>30</v>
      </c>
      <c r="P250" s="3">
        <v>12</v>
      </c>
      <c r="Q250" s="3">
        <v>2</v>
      </c>
      <c r="R250" s="3">
        <v>7</v>
      </c>
      <c r="S250" s="2">
        <f t="shared" si="8"/>
        <v>340</v>
      </c>
      <c r="T250" s="4">
        <f t="shared" si="9"/>
        <v>2721.8705882352942</v>
      </c>
    </row>
    <row r="251" spans="1:20" hidden="1" x14ac:dyDescent="0.3">
      <c r="A251">
        <v>353870905000120</v>
      </c>
      <c r="B251" t="s">
        <v>217</v>
      </c>
      <c r="C251" t="s">
        <v>140</v>
      </c>
      <c r="D251">
        <v>1</v>
      </c>
      <c r="E251">
        <v>1</v>
      </c>
      <c r="F251" s="1">
        <v>644140</v>
      </c>
      <c r="G251" s="1">
        <v>643390</v>
      </c>
      <c r="H251" s="1">
        <v>750</v>
      </c>
      <c r="I251" s="3">
        <v>0</v>
      </c>
      <c r="J251" s="3">
        <v>3</v>
      </c>
      <c r="K251" s="3">
        <v>12</v>
      </c>
      <c r="L251" s="3">
        <v>63</v>
      </c>
      <c r="M251" s="3">
        <v>76</v>
      </c>
      <c r="N251" s="3">
        <v>39</v>
      </c>
      <c r="O251" s="3">
        <v>31</v>
      </c>
      <c r="P251" s="3">
        <v>7</v>
      </c>
      <c r="Q251" s="3">
        <v>1</v>
      </c>
      <c r="R251" s="3">
        <v>5</v>
      </c>
      <c r="S251" s="2">
        <f t="shared" si="8"/>
        <v>237</v>
      </c>
      <c r="T251" s="4">
        <f t="shared" si="9"/>
        <v>2717.8902953586498</v>
      </c>
    </row>
    <row r="252" spans="1:20" hidden="1" x14ac:dyDescent="0.3">
      <c r="A252">
        <v>353870905000037</v>
      </c>
      <c r="B252" t="s">
        <v>217</v>
      </c>
      <c r="C252" t="s">
        <v>28</v>
      </c>
      <c r="D252">
        <v>1</v>
      </c>
      <c r="E252">
        <v>0</v>
      </c>
      <c r="F252" s="1">
        <v>358082</v>
      </c>
      <c r="G252" s="1">
        <v>358082</v>
      </c>
      <c r="H252" s="1">
        <v>0</v>
      </c>
      <c r="I252" s="3">
        <v>0</v>
      </c>
      <c r="J252" s="3">
        <v>0</v>
      </c>
      <c r="K252" s="3">
        <v>10</v>
      </c>
      <c r="L252" s="3">
        <v>25</v>
      </c>
      <c r="M252" s="3">
        <v>56</v>
      </c>
      <c r="N252" s="3">
        <v>14</v>
      </c>
      <c r="O252" s="3">
        <v>16</v>
      </c>
      <c r="P252" s="3">
        <v>7</v>
      </c>
      <c r="Q252" s="3">
        <v>3</v>
      </c>
      <c r="R252" s="3">
        <v>1</v>
      </c>
      <c r="S252" s="2">
        <f t="shared" si="8"/>
        <v>132</v>
      </c>
      <c r="T252" s="4">
        <f t="shared" si="9"/>
        <v>2712.742424242424</v>
      </c>
    </row>
    <row r="253" spans="1:20" hidden="1" x14ac:dyDescent="0.3">
      <c r="A253">
        <v>353870905000537</v>
      </c>
      <c r="B253" t="s">
        <v>217</v>
      </c>
      <c r="C253" t="s">
        <v>111</v>
      </c>
      <c r="D253">
        <v>2</v>
      </c>
      <c r="E253">
        <v>0</v>
      </c>
      <c r="F253" s="1">
        <v>246119</v>
      </c>
      <c r="G253" s="1">
        <v>246119</v>
      </c>
      <c r="H253" s="1">
        <v>0</v>
      </c>
      <c r="I253" s="3">
        <v>0</v>
      </c>
      <c r="J253" s="3">
        <v>2</v>
      </c>
      <c r="K253" s="3">
        <v>1</v>
      </c>
      <c r="L253" s="3">
        <v>25</v>
      </c>
      <c r="M253" s="3">
        <v>34</v>
      </c>
      <c r="N253" s="3">
        <v>17</v>
      </c>
      <c r="O253" s="3">
        <v>8</v>
      </c>
      <c r="P253" s="3">
        <v>2</v>
      </c>
      <c r="Q253" s="3">
        <v>0</v>
      </c>
      <c r="R253" s="3">
        <v>2</v>
      </c>
      <c r="S253" s="2">
        <f t="shared" si="8"/>
        <v>91</v>
      </c>
      <c r="T253" s="4">
        <f t="shared" si="9"/>
        <v>2704.6043956043954</v>
      </c>
    </row>
    <row r="254" spans="1:20" hidden="1" x14ac:dyDescent="0.3">
      <c r="A254">
        <v>353870905000237</v>
      </c>
      <c r="B254" t="s">
        <v>217</v>
      </c>
      <c r="C254" t="s">
        <v>54</v>
      </c>
      <c r="D254">
        <v>1</v>
      </c>
      <c r="E254">
        <v>0</v>
      </c>
      <c r="F254" s="1">
        <v>356577</v>
      </c>
      <c r="G254" s="1">
        <v>356577</v>
      </c>
      <c r="H254" s="1">
        <v>0</v>
      </c>
      <c r="I254" s="3">
        <v>0</v>
      </c>
      <c r="J254" s="3">
        <v>0</v>
      </c>
      <c r="K254" s="3">
        <v>9</v>
      </c>
      <c r="L254" s="3">
        <v>31</v>
      </c>
      <c r="M254" s="3">
        <v>42</v>
      </c>
      <c r="N254" s="3">
        <v>27</v>
      </c>
      <c r="O254" s="3">
        <v>15</v>
      </c>
      <c r="P254" s="3">
        <v>8</v>
      </c>
      <c r="Q254" s="3">
        <v>0</v>
      </c>
      <c r="R254" s="3">
        <v>0</v>
      </c>
      <c r="S254" s="2">
        <f t="shared" si="8"/>
        <v>132</v>
      </c>
      <c r="T254" s="4">
        <f t="shared" si="9"/>
        <v>2701.340909090909</v>
      </c>
    </row>
    <row r="255" spans="1:20" hidden="1" x14ac:dyDescent="0.3">
      <c r="A255">
        <v>353870905000049</v>
      </c>
      <c r="B255" t="s">
        <v>217</v>
      </c>
      <c r="C255" t="s">
        <v>45</v>
      </c>
      <c r="D255">
        <v>1</v>
      </c>
      <c r="E255">
        <v>0</v>
      </c>
      <c r="F255" s="1">
        <v>597841</v>
      </c>
      <c r="G255" s="1">
        <v>597841</v>
      </c>
      <c r="H255" s="1">
        <v>0</v>
      </c>
      <c r="I255" s="3">
        <v>1</v>
      </c>
      <c r="J255" s="3">
        <v>0</v>
      </c>
      <c r="K255" s="3">
        <v>8</v>
      </c>
      <c r="L255" s="3">
        <v>42</v>
      </c>
      <c r="M255" s="3">
        <v>87</v>
      </c>
      <c r="N255" s="3">
        <v>45</v>
      </c>
      <c r="O255" s="3">
        <v>22</v>
      </c>
      <c r="P255" s="3">
        <v>13</v>
      </c>
      <c r="Q255" s="3">
        <v>1</v>
      </c>
      <c r="R255" s="3">
        <v>3</v>
      </c>
      <c r="S255" s="2">
        <f t="shared" si="8"/>
        <v>222</v>
      </c>
      <c r="T255" s="4">
        <f t="shared" si="9"/>
        <v>2692.9774774774774</v>
      </c>
    </row>
    <row r="256" spans="1:20" hidden="1" x14ac:dyDescent="0.3">
      <c r="A256">
        <v>353870935000090</v>
      </c>
      <c r="B256" t="s">
        <v>217</v>
      </c>
      <c r="C256" t="s">
        <v>147</v>
      </c>
      <c r="D256">
        <v>1</v>
      </c>
      <c r="E256">
        <v>0</v>
      </c>
      <c r="F256" s="1">
        <v>535689</v>
      </c>
      <c r="G256" s="1">
        <v>535689</v>
      </c>
      <c r="H256" s="1">
        <v>0</v>
      </c>
      <c r="I256" s="3">
        <v>0</v>
      </c>
      <c r="J256" s="3">
        <v>1</v>
      </c>
      <c r="K256" s="3">
        <v>9</v>
      </c>
      <c r="L256" s="3">
        <v>50</v>
      </c>
      <c r="M256" s="3">
        <v>77</v>
      </c>
      <c r="N256" s="3">
        <v>41</v>
      </c>
      <c r="O256" s="3">
        <v>15</v>
      </c>
      <c r="P256" s="3">
        <v>4</v>
      </c>
      <c r="Q256" s="3">
        <v>0</v>
      </c>
      <c r="R256" s="3">
        <v>2</v>
      </c>
      <c r="S256" s="2">
        <f t="shared" si="8"/>
        <v>199</v>
      </c>
      <c r="T256" s="4">
        <f t="shared" si="9"/>
        <v>2691.9045226130652</v>
      </c>
    </row>
    <row r="257" spans="1:20" hidden="1" x14ac:dyDescent="0.3">
      <c r="A257">
        <v>353870905000525</v>
      </c>
      <c r="B257" t="s">
        <v>217</v>
      </c>
      <c r="C257" t="s">
        <v>125</v>
      </c>
      <c r="D257">
        <v>1</v>
      </c>
      <c r="E257">
        <v>0</v>
      </c>
      <c r="F257" s="1">
        <v>13450</v>
      </c>
      <c r="G257" s="1">
        <v>13450</v>
      </c>
      <c r="H257" s="1">
        <v>0</v>
      </c>
      <c r="I257" s="3">
        <v>0</v>
      </c>
      <c r="J257" s="3">
        <v>0</v>
      </c>
      <c r="K257" s="3">
        <v>2</v>
      </c>
      <c r="L257" s="3">
        <v>0</v>
      </c>
      <c r="M257" s="3">
        <v>2</v>
      </c>
      <c r="N257" s="3">
        <v>1</v>
      </c>
      <c r="O257" s="3">
        <v>0</v>
      </c>
      <c r="P257" s="3">
        <v>0</v>
      </c>
      <c r="Q257" s="3">
        <v>0</v>
      </c>
      <c r="R257" s="3">
        <v>0</v>
      </c>
      <c r="S257" s="2">
        <f t="shared" si="8"/>
        <v>5</v>
      </c>
      <c r="T257" s="4">
        <f t="shared" si="9"/>
        <v>2690</v>
      </c>
    </row>
    <row r="258" spans="1:20" hidden="1" x14ac:dyDescent="0.3">
      <c r="A258">
        <v>353870905000133</v>
      </c>
      <c r="B258" t="s">
        <v>217</v>
      </c>
      <c r="C258" t="s">
        <v>71</v>
      </c>
      <c r="D258">
        <v>1</v>
      </c>
      <c r="E258">
        <v>0</v>
      </c>
      <c r="F258" s="1">
        <v>422174</v>
      </c>
      <c r="G258" s="1">
        <v>422174</v>
      </c>
      <c r="H258" s="1">
        <v>0</v>
      </c>
      <c r="I258" s="3">
        <v>0</v>
      </c>
      <c r="J258" s="3">
        <v>1</v>
      </c>
      <c r="K258" s="3">
        <v>11</v>
      </c>
      <c r="L258" s="3">
        <v>42</v>
      </c>
      <c r="M258" s="3">
        <v>55</v>
      </c>
      <c r="N258" s="3">
        <v>27</v>
      </c>
      <c r="O258" s="3">
        <v>16</v>
      </c>
      <c r="P258" s="3">
        <v>3</v>
      </c>
      <c r="Q258" s="3">
        <v>1</v>
      </c>
      <c r="R258" s="3">
        <v>1</v>
      </c>
      <c r="S258" s="2">
        <f t="shared" si="8"/>
        <v>157</v>
      </c>
      <c r="T258" s="4">
        <f t="shared" si="9"/>
        <v>2689.0063694267515</v>
      </c>
    </row>
    <row r="259" spans="1:20" hidden="1" x14ac:dyDescent="0.3">
      <c r="A259">
        <v>353870905000200</v>
      </c>
      <c r="B259" t="s">
        <v>217</v>
      </c>
      <c r="C259" t="s">
        <v>127</v>
      </c>
      <c r="D259">
        <v>1</v>
      </c>
      <c r="E259">
        <v>0</v>
      </c>
      <c r="F259" s="1">
        <v>534492</v>
      </c>
      <c r="G259" s="1">
        <v>534492</v>
      </c>
      <c r="H259" s="1">
        <v>0</v>
      </c>
      <c r="I259" s="3">
        <v>0</v>
      </c>
      <c r="J259" s="3">
        <v>1</v>
      </c>
      <c r="K259" s="3">
        <v>10</v>
      </c>
      <c r="L259" s="3">
        <v>40</v>
      </c>
      <c r="M259" s="3">
        <v>81</v>
      </c>
      <c r="N259" s="3">
        <v>33</v>
      </c>
      <c r="O259" s="3">
        <v>27</v>
      </c>
      <c r="P259" s="3">
        <v>2</v>
      </c>
      <c r="Q259" s="3">
        <v>2</v>
      </c>
      <c r="R259" s="3">
        <v>3</v>
      </c>
      <c r="S259" s="2">
        <f t="shared" ref="S259:S322" si="10">SUM(I259:R259)</f>
        <v>199</v>
      </c>
      <c r="T259" s="4">
        <f t="shared" ref="T259:T322" si="11">F259/S259</f>
        <v>2685.8894472361808</v>
      </c>
    </row>
    <row r="260" spans="1:20" hidden="1" x14ac:dyDescent="0.3">
      <c r="A260">
        <v>353870905000173</v>
      </c>
      <c r="B260" t="s">
        <v>217</v>
      </c>
      <c r="C260" t="s">
        <v>135</v>
      </c>
      <c r="D260">
        <v>1</v>
      </c>
      <c r="E260">
        <v>0</v>
      </c>
      <c r="F260" s="1">
        <v>467065</v>
      </c>
      <c r="G260" s="1">
        <v>467065</v>
      </c>
      <c r="H260" s="1">
        <v>0</v>
      </c>
      <c r="I260" s="3">
        <v>1</v>
      </c>
      <c r="J260" s="3">
        <v>1</v>
      </c>
      <c r="K260" s="3">
        <v>9</v>
      </c>
      <c r="L260" s="3">
        <v>39</v>
      </c>
      <c r="M260" s="3">
        <v>70</v>
      </c>
      <c r="N260" s="3">
        <v>26</v>
      </c>
      <c r="O260" s="3">
        <v>22</v>
      </c>
      <c r="P260" s="3">
        <v>4</v>
      </c>
      <c r="Q260" s="3">
        <v>1</v>
      </c>
      <c r="R260" s="3">
        <v>1</v>
      </c>
      <c r="S260" s="2">
        <f t="shared" si="10"/>
        <v>174</v>
      </c>
      <c r="T260" s="4">
        <f t="shared" si="11"/>
        <v>2684.2816091954023</v>
      </c>
    </row>
    <row r="261" spans="1:20" hidden="1" x14ac:dyDescent="0.3">
      <c r="A261">
        <v>353870905000557</v>
      </c>
      <c r="B261" t="s">
        <v>217</v>
      </c>
      <c r="C261" t="s">
        <v>218</v>
      </c>
      <c r="D261">
        <v>8</v>
      </c>
      <c r="E261">
        <v>0</v>
      </c>
      <c r="F261" s="1">
        <v>321735</v>
      </c>
      <c r="G261" s="1">
        <v>321735</v>
      </c>
      <c r="H261" s="1">
        <v>0</v>
      </c>
      <c r="I261" s="3">
        <v>1</v>
      </c>
      <c r="J261" s="3">
        <v>3</v>
      </c>
      <c r="K261" s="3">
        <v>7</v>
      </c>
      <c r="L261" s="3">
        <v>30</v>
      </c>
      <c r="M261" s="3">
        <v>46</v>
      </c>
      <c r="N261" s="3">
        <v>12</v>
      </c>
      <c r="O261" s="3">
        <v>9</v>
      </c>
      <c r="P261" s="3">
        <v>7</v>
      </c>
      <c r="Q261" s="3">
        <v>2</v>
      </c>
      <c r="R261" s="3">
        <v>3</v>
      </c>
      <c r="S261" s="2">
        <f t="shared" si="10"/>
        <v>120</v>
      </c>
      <c r="T261" s="4">
        <f t="shared" si="11"/>
        <v>2681.125</v>
      </c>
    </row>
    <row r="262" spans="1:20" hidden="1" x14ac:dyDescent="0.3">
      <c r="A262">
        <v>353870905000230</v>
      </c>
      <c r="B262" t="s">
        <v>217</v>
      </c>
      <c r="C262" t="s">
        <v>79</v>
      </c>
      <c r="D262">
        <v>1</v>
      </c>
      <c r="E262">
        <v>0</v>
      </c>
      <c r="F262" s="1">
        <v>579987</v>
      </c>
      <c r="G262" s="1">
        <v>579987</v>
      </c>
      <c r="H262" s="1">
        <v>0</v>
      </c>
      <c r="I262" s="3">
        <v>1</v>
      </c>
      <c r="J262" s="3">
        <v>2</v>
      </c>
      <c r="K262" s="3">
        <v>8</v>
      </c>
      <c r="L262" s="3">
        <v>47</v>
      </c>
      <c r="M262" s="3">
        <v>86</v>
      </c>
      <c r="N262" s="3">
        <v>37</v>
      </c>
      <c r="O262" s="3">
        <v>27</v>
      </c>
      <c r="P262" s="3">
        <v>7</v>
      </c>
      <c r="Q262" s="3">
        <v>2</v>
      </c>
      <c r="R262" s="3">
        <v>0</v>
      </c>
      <c r="S262" s="2">
        <f t="shared" si="10"/>
        <v>217</v>
      </c>
      <c r="T262" s="4">
        <f t="shared" si="11"/>
        <v>2672.7511520737326</v>
      </c>
    </row>
    <row r="263" spans="1:20" hidden="1" x14ac:dyDescent="0.3">
      <c r="A263">
        <v>353870905000170</v>
      </c>
      <c r="B263" t="s">
        <v>217</v>
      </c>
      <c r="C263" t="s">
        <v>135</v>
      </c>
      <c r="D263">
        <v>1</v>
      </c>
      <c r="E263">
        <v>0</v>
      </c>
      <c r="F263" s="1">
        <v>512982</v>
      </c>
      <c r="G263" s="1">
        <v>512982</v>
      </c>
      <c r="H263" s="1">
        <v>0</v>
      </c>
      <c r="I263" s="3">
        <v>3</v>
      </c>
      <c r="J263" s="3">
        <v>3</v>
      </c>
      <c r="K263" s="3">
        <v>7</v>
      </c>
      <c r="L263" s="3">
        <v>37</v>
      </c>
      <c r="M263" s="3">
        <v>65</v>
      </c>
      <c r="N263" s="3">
        <v>43</v>
      </c>
      <c r="O263" s="3">
        <v>18</v>
      </c>
      <c r="P263" s="3">
        <v>15</v>
      </c>
      <c r="Q263" s="3">
        <v>0</v>
      </c>
      <c r="R263" s="3">
        <v>1</v>
      </c>
      <c r="S263" s="2">
        <f t="shared" si="10"/>
        <v>192</v>
      </c>
      <c r="T263" s="4">
        <f t="shared" si="11"/>
        <v>2671.78125</v>
      </c>
    </row>
    <row r="264" spans="1:20" hidden="1" x14ac:dyDescent="0.3">
      <c r="A264">
        <v>353870905000466</v>
      </c>
      <c r="B264" t="s">
        <v>217</v>
      </c>
      <c r="C264" t="s">
        <v>74</v>
      </c>
      <c r="D264">
        <v>1</v>
      </c>
      <c r="E264">
        <v>1</v>
      </c>
      <c r="F264" s="1">
        <v>74788</v>
      </c>
      <c r="G264" s="1">
        <v>72838</v>
      </c>
      <c r="H264" s="1">
        <v>1950</v>
      </c>
      <c r="I264" s="3">
        <v>0</v>
      </c>
      <c r="J264" s="3">
        <v>3</v>
      </c>
      <c r="K264" s="3">
        <v>4</v>
      </c>
      <c r="L264" s="3">
        <v>2</v>
      </c>
      <c r="M264" s="3">
        <v>10</v>
      </c>
      <c r="N264" s="3">
        <v>6</v>
      </c>
      <c r="O264" s="3">
        <v>3</v>
      </c>
      <c r="P264" s="3">
        <v>0</v>
      </c>
      <c r="Q264" s="3">
        <v>0</v>
      </c>
      <c r="R264" s="3">
        <v>0</v>
      </c>
      <c r="S264" s="2">
        <f t="shared" si="10"/>
        <v>28</v>
      </c>
      <c r="T264" s="4">
        <f t="shared" si="11"/>
        <v>2671</v>
      </c>
    </row>
    <row r="265" spans="1:20" hidden="1" x14ac:dyDescent="0.3">
      <c r="A265">
        <v>353870905000430</v>
      </c>
      <c r="B265" t="s">
        <v>217</v>
      </c>
      <c r="C265" t="s">
        <v>159</v>
      </c>
      <c r="D265">
        <v>1</v>
      </c>
      <c r="E265">
        <v>0</v>
      </c>
      <c r="F265" s="1">
        <v>494036</v>
      </c>
      <c r="G265" s="1">
        <v>494036</v>
      </c>
      <c r="H265" s="1">
        <v>0</v>
      </c>
      <c r="I265" s="3">
        <v>0</v>
      </c>
      <c r="J265" s="3">
        <v>0</v>
      </c>
      <c r="K265" s="3">
        <v>10</v>
      </c>
      <c r="L265" s="3">
        <v>56</v>
      </c>
      <c r="M265" s="3">
        <v>84</v>
      </c>
      <c r="N265" s="3">
        <v>21</v>
      </c>
      <c r="O265" s="3">
        <v>12</v>
      </c>
      <c r="P265" s="3">
        <v>1</v>
      </c>
      <c r="Q265" s="3">
        <v>1</v>
      </c>
      <c r="R265" s="3">
        <v>0</v>
      </c>
      <c r="S265" s="2">
        <f t="shared" si="10"/>
        <v>185</v>
      </c>
      <c r="T265" s="4">
        <f t="shared" si="11"/>
        <v>2670.4648648648649</v>
      </c>
    </row>
    <row r="266" spans="1:20" hidden="1" x14ac:dyDescent="0.3">
      <c r="A266">
        <v>353870905000217</v>
      </c>
      <c r="B266" t="s">
        <v>217</v>
      </c>
      <c r="C266" t="s">
        <v>129</v>
      </c>
      <c r="D266">
        <v>1</v>
      </c>
      <c r="E266">
        <v>0</v>
      </c>
      <c r="F266" s="1">
        <v>665486</v>
      </c>
      <c r="G266" s="1">
        <v>665486</v>
      </c>
      <c r="H266" s="1">
        <v>0</v>
      </c>
      <c r="I266" s="3">
        <v>0</v>
      </c>
      <c r="J266" s="3">
        <v>0</v>
      </c>
      <c r="K266" s="3">
        <v>10</v>
      </c>
      <c r="L266" s="3">
        <v>53</v>
      </c>
      <c r="M266" s="3">
        <v>103</v>
      </c>
      <c r="N266" s="3">
        <v>53</v>
      </c>
      <c r="O266" s="3">
        <v>23</v>
      </c>
      <c r="P266" s="3">
        <v>4</v>
      </c>
      <c r="Q266" s="3">
        <v>0</v>
      </c>
      <c r="R266" s="3">
        <v>4</v>
      </c>
      <c r="S266" s="2">
        <f t="shared" si="10"/>
        <v>250</v>
      </c>
      <c r="T266" s="4">
        <f t="shared" si="11"/>
        <v>2661.944</v>
      </c>
    </row>
    <row r="267" spans="1:20" hidden="1" x14ac:dyDescent="0.3">
      <c r="A267">
        <v>353870905000109</v>
      </c>
      <c r="B267" t="s">
        <v>217</v>
      </c>
      <c r="C267" t="s">
        <v>105</v>
      </c>
      <c r="D267">
        <v>1</v>
      </c>
      <c r="E267">
        <v>0</v>
      </c>
      <c r="F267" s="1">
        <v>340396</v>
      </c>
      <c r="G267" s="1">
        <v>340396</v>
      </c>
      <c r="H267" s="1">
        <v>0</v>
      </c>
      <c r="I267" s="3">
        <v>1</v>
      </c>
      <c r="J267" s="3">
        <v>1</v>
      </c>
      <c r="K267" s="3">
        <v>7</v>
      </c>
      <c r="L267" s="3">
        <v>24</v>
      </c>
      <c r="M267" s="3">
        <v>50</v>
      </c>
      <c r="N267" s="3">
        <v>18</v>
      </c>
      <c r="O267" s="3">
        <v>12</v>
      </c>
      <c r="P267" s="3">
        <v>6</v>
      </c>
      <c r="Q267" s="3">
        <v>0</v>
      </c>
      <c r="R267" s="3">
        <v>9</v>
      </c>
      <c r="S267" s="2">
        <f t="shared" si="10"/>
        <v>128</v>
      </c>
      <c r="T267" s="4">
        <f t="shared" si="11"/>
        <v>2659.34375</v>
      </c>
    </row>
    <row r="268" spans="1:20" hidden="1" x14ac:dyDescent="0.3">
      <c r="A268">
        <v>353870905000031</v>
      </c>
      <c r="B268" t="s">
        <v>217</v>
      </c>
      <c r="C268" t="s">
        <v>28</v>
      </c>
      <c r="D268">
        <v>1</v>
      </c>
      <c r="E268">
        <v>0</v>
      </c>
      <c r="F268" s="1">
        <v>345214</v>
      </c>
      <c r="G268" s="1">
        <v>345214</v>
      </c>
      <c r="H268" s="1">
        <v>0</v>
      </c>
      <c r="I268" s="3">
        <v>1</v>
      </c>
      <c r="J268" s="3">
        <v>0</v>
      </c>
      <c r="K268" s="3">
        <v>1</v>
      </c>
      <c r="L268" s="3">
        <v>9</v>
      </c>
      <c r="M268" s="3">
        <v>29</v>
      </c>
      <c r="N268" s="3">
        <v>34</v>
      </c>
      <c r="O268" s="3">
        <v>24</v>
      </c>
      <c r="P268" s="3">
        <v>20</v>
      </c>
      <c r="Q268" s="3">
        <v>7</v>
      </c>
      <c r="R268" s="3">
        <v>5</v>
      </c>
      <c r="S268" s="2">
        <f t="shared" si="10"/>
        <v>130</v>
      </c>
      <c r="T268" s="4">
        <f t="shared" si="11"/>
        <v>2655.4923076923078</v>
      </c>
    </row>
    <row r="269" spans="1:20" hidden="1" x14ac:dyDescent="0.3">
      <c r="A269">
        <v>353870935000061</v>
      </c>
      <c r="B269" t="s">
        <v>217</v>
      </c>
      <c r="C269" t="s">
        <v>147</v>
      </c>
      <c r="D269">
        <v>1</v>
      </c>
      <c r="E269">
        <v>0</v>
      </c>
      <c r="F269" s="1">
        <v>345194</v>
      </c>
      <c r="G269" s="1">
        <v>345194</v>
      </c>
      <c r="H269" s="1">
        <v>0</v>
      </c>
      <c r="I269" s="3">
        <v>0</v>
      </c>
      <c r="J269" s="3">
        <v>2</v>
      </c>
      <c r="K269" s="3">
        <v>3</v>
      </c>
      <c r="L269" s="3">
        <v>31</v>
      </c>
      <c r="M269" s="3">
        <v>68</v>
      </c>
      <c r="N269" s="3">
        <v>17</v>
      </c>
      <c r="O269" s="3">
        <v>7</v>
      </c>
      <c r="P269" s="3">
        <v>0</v>
      </c>
      <c r="Q269" s="3">
        <v>0</v>
      </c>
      <c r="R269" s="3">
        <v>2</v>
      </c>
      <c r="S269" s="2">
        <f t="shared" si="10"/>
        <v>130</v>
      </c>
      <c r="T269" s="4">
        <f t="shared" si="11"/>
        <v>2655.3384615384616</v>
      </c>
    </row>
    <row r="270" spans="1:20" hidden="1" x14ac:dyDescent="0.3">
      <c r="A270">
        <v>353870905000278</v>
      </c>
      <c r="B270" t="s">
        <v>217</v>
      </c>
      <c r="C270" t="s">
        <v>77</v>
      </c>
      <c r="D270">
        <v>1</v>
      </c>
      <c r="E270">
        <v>0</v>
      </c>
      <c r="F270" s="1">
        <v>419150</v>
      </c>
      <c r="G270" s="1">
        <v>419150</v>
      </c>
      <c r="H270" s="1">
        <v>0</v>
      </c>
      <c r="I270" s="3">
        <v>0</v>
      </c>
      <c r="J270" s="3">
        <v>3</v>
      </c>
      <c r="K270" s="3">
        <v>6</v>
      </c>
      <c r="L270" s="3">
        <v>16</v>
      </c>
      <c r="M270" s="3">
        <v>53</v>
      </c>
      <c r="N270" s="3">
        <v>43</v>
      </c>
      <c r="O270" s="3">
        <v>26</v>
      </c>
      <c r="P270" s="3">
        <v>6</v>
      </c>
      <c r="Q270" s="3">
        <v>3</v>
      </c>
      <c r="R270" s="3">
        <v>2</v>
      </c>
      <c r="S270" s="2">
        <f t="shared" si="10"/>
        <v>158</v>
      </c>
      <c r="T270" s="4">
        <f t="shared" si="11"/>
        <v>2652.8481012658226</v>
      </c>
    </row>
    <row r="271" spans="1:20" hidden="1" x14ac:dyDescent="0.3">
      <c r="A271">
        <v>353870905000102</v>
      </c>
      <c r="B271" t="s">
        <v>217</v>
      </c>
      <c r="C271" t="s">
        <v>220</v>
      </c>
      <c r="D271">
        <v>1</v>
      </c>
      <c r="E271">
        <v>0</v>
      </c>
      <c r="F271" s="1">
        <v>342088</v>
      </c>
      <c r="G271" s="1">
        <v>342088</v>
      </c>
      <c r="H271" s="1">
        <v>0</v>
      </c>
      <c r="I271" s="3">
        <v>0</v>
      </c>
      <c r="J271" s="3">
        <v>1</v>
      </c>
      <c r="K271" s="3">
        <v>5</v>
      </c>
      <c r="L271" s="3">
        <v>29</v>
      </c>
      <c r="M271" s="3">
        <v>45</v>
      </c>
      <c r="N271" s="3">
        <v>24</v>
      </c>
      <c r="O271" s="3">
        <v>12</v>
      </c>
      <c r="P271" s="3">
        <v>10</v>
      </c>
      <c r="Q271" s="3">
        <v>0</v>
      </c>
      <c r="R271" s="3">
        <v>3</v>
      </c>
      <c r="S271" s="2">
        <f t="shared" si="10"/>
        <v>129</v>
      </c>
      <c r="T271" s="4">
        <f t="shared" si="11"/>
        <v>2651.8449612403101</v>
      </c>
    </row>
    <row r="272" spans="1:20" hidden="1" x14ac:dyDescent="0.3">
      <c r="A272">
        <v>353870905000125</v>
      </c>
      <c r="B272" t="s">
        <v>217</v>
      </c>
      <c r="C272" t="s">
        <v>140</v>
      </c>
      <c r="D272">
        <v>1</v>
      </c>
      <c r="E272">
        <v>0</v>
      </c>
      <c r="F272" s="1">
        <v>411030</v>
      </c>
      <c r="G272" s="1">
        <v>411030</v>
      </c>
      <c r="H272" s="1">
        <v>0</v>
      </c>
      <c r="I272" s="3">
        <v>0</v>
      </c>
      <c r="J272" s="3">
        <v>6</v>
      </c>
      <c r="K272" s="3">
        <v>12</v>
      </c>
      <c r="L272" s="3">
        <v>38</v>
      </c>
      <c r="M272" s="3">
        <v>53</v>
      </c>
      <c r="N272" s="3">
        <v>26</v>
      </c>
      <c r="O272" s="3">
        <v>9</v>
      </c>
      <c r="P272" s="3">
        <v>7</v>
      </c>
      <c r="Q272" s="3">
        <v>2</v>
      </c>
      <c r="R272" s="3">
        <v>2</v>
      </c>
      <c r="S272" s="2">
        <f t="shared" si="10"/>
        <v>155</v>
      </c>
      <c r="T272" s="4">
        <f t="shared" si="11"/>
        <v>2651.8064516129034</v>
      </c>
    </row>
    <row r="273" spans="1:20" hidden="1" x14ac:dyDescent="0.3">
      <c r="A273">
        <v>353870935000001</v>
      </c>
      <c r="B273" t="s">
        <v>217</v>
      </c>
      <c r="C273" t="s">
        <v>155</v>
      </c>
      <c r="D273">
        <v>1</v>
      </c>
      <c r="E273">
        <v>0</v>
      </c>
      <c r="F273" s="1">
        <v>461220</v>
      </c>
      <c r="G273" s="1">
        <v>461220</v>
      </c>
      <c r="H273" s="1">
        <v>0</v>
      </c>
      <c r="I273" s="3">
        <v>0</v>
      </c>
      <c r="J273" s="3">
        <v>1</v>
      </c>
      <c r="K273" s="3">
        <v>5</v>
      </c>
      <c r="L273" s="3">
        <v>35</v>
      </c>
      <c r="M273" s="3">
        <v>78</v>
      </c>
      <c r="N273" s="3">
        <v>30</v>
      </c>
      <c r="O273" s="3">
        <v>14</v>
      </c>
      <c r="P273" s="3">
        <v>10</v>
      </c>
      <c r="Q273" s="3">
        <v>0</v>
      </c>
      <c r="R273" s="3">
        <v>1</v>
      </c>
      <c r="S273" s="2">
        <f t="shared" si="10"/>
        <v>174</v>
      </c>
      <c r="T273" s="4">
        <f t="shared" si="11"/>
        <v>2650.6896551724139</v>
      </c>
    </row>
    <row r="274" spans="1:20" hidden="1" x14ac:dyDescent="0.3">
      <c r="A274">
        <v>353870905000158</v>
      </c>
      <c r="B274" t="s">
        <v>217</v>
      </c>
      <c r="C274" t="s">
        <v>116</v>
      </c>
      <c r="D274">
        <v>1</v>
      </c>
      <c r="E274">
        <v>0</v>
      </c>
      <c r="F274" s="1">
        <v>418270</v>
      </c>
      <c r="G274" s="1">
        <v>418270</v>
      </c>
      <c r="H274" s="1">
        <v>0</v>
      </c>
      <c r="I274" s="3">
        <v>0</v>
      </c>
      <c r="J274" s="3">
        <v>2</v>
      </c>
      <c r="K274" s="3">
        <v>8</v>
      </c>
      <c r="L274" s="3">
        <v>37</v>
      </c>
      <c r="M274" s="3">
        <v>64</v>
      </c>
      <c r="N274" s="3">
        <v>26</v>
      </c>
      <c r="O274" s="3">
        <v>11</v>
      </c>
      <c r="P274" s="3">
        <v>5</v>
      </c>
      <c r="Q274" s="3">
        <v>1</v>
      </c>
      <c r="R274" s="3">
        <v>4</v>
      </c>
      <c r="S274" s="2">
        <f t="shared" si="10"/>
        <v>158</v>
      </c>
      <c r="T274" s="4">
        <f t="shared" si="11"/>
        <v>2647.2784810126582</v>
      </c>
    </row>
    <row r="275" spans="1:20" hidden="1" x14ac:dyDescent="0.3">
      <c r="A275">
        <v>353870905000169</v>
      </c>
      <c r="B275" t="s">
        <v>217</v>
      </c>
      <c r="C275" t="s">
        <v>135</v>
      </c>
      <c r="D275">
        <v>1</v>
      </c>
      <c r="E275">
        <v>0</v>
      </c>
      <c r="F275" s="1">
        <v>603510</v>
      </c>
      <c r="G275" s="1">
        <v>603510</v>
      </c>
      <c r="H275" s="1">
        <v>0</v>
      </c>
      <c r="I275" s="3">
        <v>0</v>
      </c>
      <c r="J275" s="3">
        <v>0</v>
      </c>
      <c r="K275" s="3">
        <v>4</v>
      </c>
      <c r="L275" s="3">
        <v>62</v>
      </c>
      <c r="M275" s="3">
        <v>102</v>
      </c>
      <c r="N275" s="3">
        <v>35</v>
      </c>
      <c r="O275" s="3">
        <v>10</v>
      </c>
      <c r="P275" s="3">
        <v>10</v>
      </c>
      <c r="Q275" s="3">
        <v>3</v>
      </c>
      <c r="R275" s="3">
        <v>2</v>
      </c>
      <c r="S275" s="2">
        <f t="shared" si="10"/>
        <v>228</v>
      </c>
      <c r="T275" s="4">
        <f t="shared" si="11"/>
        <v>2646.9736842105262</v>
      </c>
    </row>
    <row r="276" spans="1:20" hidden="1" x14ac:dyDescent="0.3">
      <c r="A276">
        <v>353870905000441</v>
      </c>
      <c r="B276" t="s">
        <v>217</v>
      </c>
      <c r="C276" t="s">
        <v>45</v>
      </c>
      <c r="D276">
        <v>1</v>
      </c>
      <c r="E276">
        <v>0</v>
      </c>
      <c r="F276" s="1">
        <v>23790</v>
      </c>
      <c r="G276" s="1">
        <v>23790</v>
      </c>
      <c r="H276" s="1">
        <v>0</v>
      </c>
      <c r="I276" s="3">
        <v>0</v>
      </c>
      <c r="J276" s="3">
        <v>0</v>
      </c>
      <c r="K276" s="3">
        <v>1</v>
      </c>
      <c r="L276" s="3">
        <v>1</v>
      </c>
      <c r="M276" s="3">
        <v>4</v>
      </c>
      <c r="N276" s="3">
        <v>0</v>
      </c>
      <c r="O276" s="3">
        <v>1</v>
      </c>
      <c r="P276" s="3">
        <v>2</v>
      </c>
      <c r="Q276" s="3">
        <v>0</v>
      </c>
      <c r="R276" s="3">
        <v>0</v>
      </c>
      <c r="S276" s="2">
        <f t="shared" si="10"/>
        <v>9</v>
      </c>
      <c r="T276" s="4">
        <f t="shared" si="11"/>
        <v>2643.3333333333335</v>
      </c>
    </row>
    <row r="277" spans="1:20" hidden="1" x14ac:dyDescent="0.3">
      <c r="A277">
        <v>353870905000136</v>
      </c>
      <c r="B277" t="s">
        <v>217</v>
      </c>
      <c r="C277" t="s">
        <v>71</v>
      </c>
      <c r="D277">
        <v>1</v>
      </c>
      <c r="E277">
        <v>0</v>
      </c>
      <c r="F277" s="1">
        <v>472027</v>
      </c>
      <c r="G277" s="1">
        <v>472027</v>
      </c>
      <c r="H277" s="1">
        <v>0</v>
      </c>
      <c r="I277" s="3">
        <v>1</v>
      </c>
      <c r="J277" s="3">
        <v>0</v>
      </c>
      <c r="K277" s="3">
        <v>4</v>
      </c>
      <c r="L277" s="3">
        <v>20</v>
      </c>
      <c r="M277" s="3">
        <v>67</v>
      </c>
      <c r="N277" s="3">
        <v>31</v>
      </c>
      <c r="O277" s="3">
        <v>39</v>
      </c>
      <c r="P277" s="3">
        <v>13</v>
      </c>
      <c r="Q277" s="3">
        <v>1</v>
      </c>
      <c r="R277" s="3">
        <v>3</v>
      </c>
      <c r="S277" s="2">
        <f t="shared" si="10"/>
        <v>179</v>
      </c>
      <c r="T277" s="4">
        <f t="shared" si="11"/>
        <v>2637.0223463687153</v>
      </c>
    </row>
    <row r="278" spans="1:20" hidden="1" x14ac:dyDescent="0.3">
      <c r="A278">
        <v>353870905000201</v>
      </c>
      <c r="B278" t="s">
        <v>217</v>
      </c>
      <c r="C278" t="s">
        <v>127</v>
      </c>
      <c r="D278">
        <v>1</v>
      </c>
      <c r="E278">
        <v>0</v>
      </c>
      <c r="F278" s="1">
        <v>516277</v>
      </c>
      <c r="G278" s="1">
        <v>516277</v>
      </c>
      <c r="H278" s="1">
        <v>0</v>
      </c>
      <c r="I278" s="3">
        <v>0</v>
      </c>
      <c r="J278" s="3">
        <v>0</v>
      </c>
      <c r="K278" s="3">
        <v>8</v>
      </c>
      <c r="L278" s="3">
        <v>45</v>
      </c>
      <c r="M278" s="3">
        <v>88</v>
      </c>
      <c r="N278" s="3">
        <v>23</v>
      </c>
      <c r="O278" s="3">
        <v>24</v>
      </c>
      <c r="P278" s="3">
        <v>4</v>
      </c>
      <c r="Q278" s="3">
        <v>2</v>
      </c>
      <c r="R278" s="3">
        <v>2</v>
      </c>
      <c r="S278" s="2">
        <f t="shared" si="10"/>
        <v>196</v>
      </c>
      <c r="T278" s="4">
        <f t="shared" si="11"/>
        <v>2634.0663265306121</v>
      </c>
    </row>
    <row r="279" spans="1:20" hidden="1" x14ac:dyDescent="0.3">
      <c r="A279">
        <v>353870925000002</v>
      </c>
      <c r="B279" t="s">
        <v>217</v>
      </c>
      <c r="C279" t="s">
        <v>218</v>
      </c>
      <c r="D279">
        <v>1</v>
      </c>
      <c r="E279">
        <v>0</v>
      </c>
      <c r="F279" s="1">
        <v>479372</v>
      </c>
      <c r="G279" s="1">
        <v>479372</v>
      </c>
      <c r="H279" s="1">
        <v>0</v>
      </c>
      <c r="I279" s="3">
        <v>0</v>
      </c>
      <c r="J279" s="3">
        <v>1</v>
      </c>
      <c r="K279" s="3">
        <v>12</v>
      </c>
      <c r="L279" s="3">
        <v>42</v>
      </c>
      <c r="M279" s="3">
        <v>58</v>
      </c>
      <c r="N279" s="3">
        <v>31</v>
      </c>
      <c r="O279" s="3">
        <v>24</v>
      </c>
      <c r="P279" s="3">
        <v>6</v>
      </c>
      <c r="Q279" s="3">
        <v>1</v>
      </c>
      <c r="R279" s="3">
        <v>7</v>
      </c>
      <c r="S279" s="2">
        <f t="shared" si="10"/>
        <v>182</v>
      </c>
      <c r="T279" s="4">
        <f t="shared" si="11"/>
        <v>2633.9120879120878</v>
      </c>
    </row>
    <row r="280" spans="1:20" hidden="1" x14ac:dyDescent="0.3">
      <c r="A280">
        <v>353870905000114</v>
      </c>
      <c r="B280" t="s">
        <v>217</v>
      </c>
      <c r="C280" t="s">
        <v>140</v>
      </c>
      <c r="D280">
        <v>1</v>
      </c>
      <c r="E280">
        <v>0</v>
      </c>
      <c r="F280" s="1">
        <v>535575</v>
      </c>
      <c r="G280" s="1">
        <v>535575</v>
      </c>
      <c r="H280" s="1">
        <v>0</v>
      </c>
      <c r="I280" s="3">
        <v>0</v>
      </c>
      <c r="J280" s="3">
        <v>1</v>
      </c>
      <c r="K280" s="3">
        <v>14</v>
      </c>
      <c r="L280" s="3">
        <v>48</v>
      </c>
      <c r="M280" s="3">
        <v>71</v>
      </c>
      <c r="N280" s="3">
        <v>25</v>
      </c>
      <c r="O280" s="3">
        <v>32</v>
      </c>
      <c r="P280" s="3">
        <v>9</v>
      </c>
      <c r="Q280" s="3">
        <v>0</v>
      </c>
      <c r="R280" s="3">
        <v>4</v>
      </c>
      <c r="S280" s="2">
        <f t="shared" si="10"/>
        <v>204</v>
      </c>
      <c r="T280" s="4">
        <f t="shared" si="11"/>
        <v>2625.3676470588234</v>
      </c>
    </row>
    <row r="281" spans="1:20" hidden="1" x14ac:dyDescent="0.3">
      <c r="A281">
        <v>353870905000091</v>
      </c>
      <c r="B281" t="s">
        <v>217</v>
      </c>
      <c r="C281" t="s">
        <v>28</v>
      </c>
      <c r="D281">
        <v>1</v>
      </c>
      <c r="E281">
        <v>0</v>
      </c>
      <c r="F281" s="1">
        <v>322867</v>
      </c>
      <c r="G281" s="1">
        <v>322867</v>
      </c>
      <c r="H281" s="1">
        <v>0</v>
      </c>
      <c r="I281" s="3">
        <v>0</v>
      </c>
      <c r="J281" s="3">
        <v>1</v>
      </c>
      <c r="K281" s="3">
        <v>6</v>
      </c>
      <c r="L281" s="3">
        <v>24</v>
      </c>
      <c r="M281" s="3">
        <v>47</v>
      </c>
      <c r="N281" s="3">
        <v>22</v>
      </c>
      <c r="O281" s="3">
        <v>11</v>
      </c>
      <c r="P281" s="3">
        <v>5</v>
      </c>
      <c r="Q281" s="3">
        <v>1</v>
      </c>
      <c r="R281" s="3">
        <v>6</v>
      </c>
      <c r="S281" s="2">
        <f t="shared" si="10"/>
        <v>123</v>
      </c>
      <c r="T281" s="4">
        <f t="shared" si="11"/>
        <v>2624.9349593495936</v>
      </c>
    </row>
    <row r="282" spans="1:20" hidden="1" x14ac:dyDescent="0.3">
      <c r="A282">
        <v>353870905000400</v>
      </c>
      <c r="B282" t="s">
        <v>217</v>
      </c>
      <c r="C282" t="s">
        <v>94</v>
      </c>
      <c r="D282">
        <v>1</v>
      </c>
      <c r="E282">
        <v>0</v>
      </c>
      <c r="F282" s="1">
        <v>821170</v>
      </c>
      <c r="G282" s="1">
        <v>821170</v>
      </c>
      <c r="H282" s="1">
        <v>0</v>
      </c>
      <c r="I282" s="3">
        <v>2</v>
      </c>
      <c r="J282" s="3">
        <v>3</v>
      </c>
      <c r="K282" s="3">
        <v>16</v>
      </c>
      <c r="L282" s="3">
        <v>86</v>
      </c>
      <c r="M282" s="3">
        <v>116</v>
      </c>
      <c r="N282" s="3">
        <v>50</v>
      </c>
      <c r="O282" s="3">
        <v>31</v>
      </c>
      <c r="P282" s="3">
        <v>5</v>
      </c>
      <c r="Q282" s="3">
        <v>3</v>
      </c>
      <c r="R282" s="3">
        <v>1</v>
      </c>
      <c r="S282" s="2">
        <f t="shared" si="10"/>
        <v>313</v>
      </c>
      <c r="T282" s="4">
        <f t="shared" si="11"/>
        <v>2623.5463258785944</v>
      </c>
    </row>
    <row r="283" spans="1:20" hidden="1" x14ac:dyDescent="0.3">
      <c r="A283">
        <v>353870905000387</v>
      </c>
      <c r="B283" t="s">
        <v>217</v>
      </c>
      <c r="C283" t="s">
        <v>108</v>
      </c>
      <c r="D283">
        <v>1</v>
      </c>
      <c r="E283">
        <v>0</v>
      </c>
      <c r="F283" s="1">
        <v>977785</v>
      </c>
      <c r="G283" s="1">
        <v>977785</v>
      </c>
      <c r="H283" s="1">
        <v>0</v>
      </c>
      <c r="I283" s="3">
        <v>0</v>
      </c>
      <c r="J283" s="3">
        <v>2</v>
      </c>
      <c r="K283" s="3">
        <v>14</v>
      </c>
      <c r="L283" s="3">
        <v>90</v>
      </c>
      <c r="M283" s="3">
        <v>142</v>
      </c>
      <c r="N283" s="3">
        <v>64</v>
      </c>
      <c r="O283" s="3">
        <v>34</v>
      </c>
      <c r="P283" s="3">
        <v>8</v>
      </c>
      <c r="Q283" s="3">
        <v>4</v>
      </c>
      <c r="R283" s="3">
        <v>15</v>
      </c>
      <c r="S283" s="2">
        <f t="shared" si="10"/>
        <v>373</v>
      </c>
      <c r="T283" s="4">
        <f t="shared" si="11"/>
        <v>2621.4075067024128</v>
      </c>
    </row>
    <row r="284" spans="1:20" hidden="1" x14ac:dyDescent="0.3">
      <c r="A284">
        <v>353870905000042</v>
      </c>
      <c r="B284" t="s">
        <v>217</v>
      </c>
      <c r="C284" t="s">
        <v>45</v>
      </c>
      <c r="D284">
        <v>1</v>
      </c>
      <c r="E284">
        <v>0</v>
      </c>
      <c r="F284" s="1">
        <v>500680</v>
      </c>
      <c r="G284" s="1">
        <v>500680</v>
      </c>
      <c r="H284" s="1">
        <v>0</v>
      </c>
      <c r="I284" s="3">
        <v>0</v>
      </c>
      <c r="J284" s="3">
        <v>2</v>
      </c>
      <c r="K284" s="3">
        <v>4</v>
      </c>
      <c r="L284" s="3">
        <v>36</v>
      </c>
      <c r="M284" s="3">
        <v>67</v>
      </c>
      <c r="N284" s="3">
        <v>29</v>
      </c>
      <c r="O284" s="3">
        <v>31</v>
      </c>
      <c r="P284" s="3">
        <v>18</v>
      </c>
      <c r="Q284" s="3">
        <v>3</v>
      </c>
      <c r="R284" s="3">
        <v>1</v>
      </c>
      <c r="S284" s="2">
        <f t="shared" si="10"/>
        <v>191</v>
      </c>
      <c r="T284" s="4">
        <f t="shared" si="11"/>
        <v>2621.3612565445028</v>
      </c>
    </row>
    <row r="285" spans="1:20" hidden="1" x14ac:dyDescent="0.3">
      <c r="A285">
        <v>353870905000234</v>
      </c>
      <c r="B285" t="s">
        <v>217</v>
      </c>
      <c r="C285" t="s">
        <v>114</v>
      </c>
      <c r="D285">
        <v>1</v>
      </c>
      <c r="E285">
        <v>0</v>
      </c>
      <c r="F285" s="1">
        <v>504465</v>
      </c>
      <c r="G285" s="1">
        <v>504465</v>
      </c>
      <c r="H285" s="1">
        <v>0</v>
      </c>
      <c r="I285" s="3">
        <v>0</v>
      </c>
      <c r="J285" s="3">
        <v>4</v>
      </c>
      <c r="K285" s="3">
        <v>6</v>
      </c>
      <c r="L285" s="3">
        <v>54</v>
      </c>
      <c r="M285" s="3">
        <v>69</v>
      </c>
      <c r="N285" s="3">
        <v>32</v>
      </c>
      <c r="O285" s="3">
        <v>20</v>
      </c>
      <c r="P285" s="3">
        <v>4</v>
      </c>
      <c r="Q285" s="3">
        <v>1</v>
      </c>
      <c r="R285" s="3">
        <v>3</v>
      </c>
      <c r="S285" s="2">
        <f t="shared" si="10"/>
        <v>193</v>
      </c>
      <c r="T285" s="4">
        <f t="shared" si="11"/>
        <v>2613.8082901554403</v>
      </c>
    </row>
    <row r="286" spans="1:20" hidden="1" x14ac:dyDescent="0.3">
      <c r="A286">
        <v>353870935000066</v>
      </c>
      <c r="B286" t="s">
        <v>217</v>
      </c>
      <c r="C286" t="s">
        <v>147</v>
      </c>
      <c r="D286">
        <v>1</v>
      </c>
      <c r="E286">
        <v>0</v>
      </c>
      <c r="F286" s="1">
        <v>404155</v>
      </c>
      <c r="G286" s="1">
        <v>404155</v>
      </c>
      <c r="H286" s="1">
        <v>0</v>
      </c>
      <c r="I286" s="3">
        <v>2</v>
      </c>
      <c r="J286" s="3">
        <v>0</v>
      </c>
      <c r="K286" s="3">
        <v>3</v>
      </c>
      <c r="L286" s="3">
        <v>34</v>
      </c>
      <c r="M286" s="3">
        <v>79</v>
      </c>
      <c r="N286" s="3">
        <v>14</v>
      </c>
      <c r="O286" s="3">
        <v>14</v>
      </c>
      <c r="P286" s="3">
        <v>5</v>
      </c>
      <c r="Q286" s="3">
        <v>0</v>
      </c>
      <c r="R286" s="3">
        <v>4</v>
      </c>
      <c r="S286" s="2">
        <f t="shared" si="10"/>
        <v>155</v>
      </c>
      <c r="T286" s="4">
        <f t="shared" si="11"/>
        <v>2607.4516129032259</v>
      </c>
    </row>
    <row r="287" spans="1:20" hidden="1" x14ac:dyDescent="0.3">
      <c r="A287">
        <v>353870905000309</v>
      </c>
      <c r="B287" t="s">
        <v>217</v>
      </c>
      <c r="C287" t="s">
        <v>79</v>
      </c>
      <c r="D287">
        <v>1</v>
      </c>
      <c r="E287">
        <v>0</v>
      </c>
      <c r="F287" s="1">
        <v>745527</v>
      </c>
      <c r="G287" s="1">
        <v>745527</v>
      </c>
      <c r="H287" s="1">
        <v>0</v>
      </c>
      <c r="I287" s="3">
        <v>0</v>
      </c>
      <c r="J287" s="3">
        <v>3</v>
      </c>
      <c r="K287" s="3">
        <v>14</v>
      </c>
      <c r="L287" s="3">
        <v>58</v>
      </c>
      <c r="M287" s="3">
        <v>110</v>
      </c>
      <c r="N287" s="3">
        <v>53</v>
      </c>
      <c r="O287" s="3">
        <v>29</v>
      </c>
      <c r="P287" s="3">
        <v>6</v>
      </c>
      <c r="Q287" s="3">
        <v>2</v>
      </c>
      <c r="R287" s="3">
        <v>11</v>
      </c>
      <c r="S287" s="2">
        <f t="shared" si="10"/>
        <v>286</v>
      </c>
      <c r="T287" s="4">
        <f t="shared" si="11"/>
        <v>2606.7377622377621</v>
      </c>
    </row>
    <row r="288" spans="1:20" hidden="1" x14ac:dyDescent="0.3">
      <c r="A288">
        <v>353870905000214</v>
      </c>
      <c r="B288" t="s">
        <v>217</v>
      </c>
      <c r="C288" t="s">
        <v>167</v>
      </c>
      <c r="D288">
        <v>1</v>
      </c>
      <c r="E288">
        <v>0</v>
      </c>
      <c r="F288" s="1">
        <v>510022</v>
      </c>
      <c r="G288" s="1">
        <v>510022</v>
      </c>
      <c r="H288" s="1">
        <v>0</v>
      </c>
      <c r="I288" s="3">
        <v>0</v>
      </c>
      <c r="J288" s="3">
        <v>1</v>
      </c>
      <c r="K288" s="3">
        <v>8</v>
      </c>
      <c r="L288" s="3">
        <v>42</v>
      </c>
      <c r="M288" s="3">
        <v>86</v>
      </c>
      <c r="N288" s="3">
        <v>41</v>
      </c>
      <c r="O288" s="3">
        <v>14</v>
      </c>
      <c r="P288" s="3">
        <v>3</v>
      </c>
      <c r="Q288" s="3">
        <v>0</v>
      </c>
      <c r="R288" s="3">
        <v>1</v>
      </c>
      <c r="S288" s="2">
        <f t="shared" si="10"/>
        <v>196</v>
      </c>
      <c r="T288" s="4">
        <f t="shared" si="11"/>
        <v>2602.1530612244896</v>
      </c>
    </row>
    <row r="289" spans="1:20" hidden="1" x14ac:dyDescent="0.3">
      <c r="A289">
        <v>353870905000394</v>
      </c>
      <c r="B289" t="s">
        <v>217</v>
      </c>
      <c r="C289" t="s">
        <v>108</v>
      </c>
      <c r="D289">
        <v>1</v>
      </c>
      <c r="E289">
        <v>0</v>
      </c>
      <c r="F289" s="1">
        <v>1051244</v>
      </c>
      <c r="G289" s="1">
        <v>1051244</v>
      </c>
      <c r="H289" s="1">
        <v>0</v>
      </c>
      <c r="I289" s="3">
        <v>1</v>
      </c>
      <c r="J289" s="3">
        <v>7</v>
      </c>
      <c r="K289" s="3">
        <v>28</v>
      </c>
      <c r="L289" s="3">
        <v>98</v>
      </c>
      <c r="M289" s="3">
        <v>160</v>
      </c>
      <c r="N289" s="3">
        <v>55</v>
      </c>
      <c r="O289" s="3">
        <v>27</v>
      </c>
      <c r="P289" s="3">
        <v>11</v>
      </c>
      <c r="Q289" s="3">
        <v>3</v>
      </c>
      <c r="R289" s="3">
        <v>14</v>
      </c>
      <c r="S289" s="2">
        <f t="shared" si="10"/>
        <v>404</v>
      </c>
      <c r="T289" s="4">
        <f t="shared" si="11"/>
        <v>2602.0891089108909</v>
      </c>
    </row>
    <row r="290" spans="1:20" hidden="1" x14ac:dyDescent="0.3">
      <c r="A290">
        <v>353870905000591</v>
      </c>
      <c r="B290" t="s">
        <v>217</v>
      </c>
      <c r="C290" t="s">
        <v>108</v>
      </c>
      <c r="D290">
        <v>1</v>
      </c>
      <c r="E290">
        <v>0</v>
      </c>
      <c r="F290" s="1">
        <v>470644</v>
      </c>
      <c r="G290" s="1">
        <v>470644</v>
      </c>
      <c r="H290" s="1">
        <v>0</v>
      </c>
      <c r="I290" s="3">
        <v>1</v>
      </c>
      <c r="J290" s="3">
        <v>1</v>
      </c>
      <c r="K290" s="3">
        <v>7</v>
      </c>
      <c r="L290" s="3">
        <v>40</v>
      </c>
      <c r="M290" s="3">
        <v>78</v>
      </c>
      <c r="N290" s="3">
        <v>30</v>
      </c>
      <c r="O290" s="3">
        <v>19</v>
      </c>
      <c r="P290" s="3">
        <v>3</v>
      </c>
      <c r="Q290" s="3">
        <v>0</v>
      </c>
      <c r="R290" s="3">
        <v>2</v>
      </c>
      <c r="S290" s="2">
        <f t="shared" si="10"/>
        <v>181</v>
      </c>
      <c r="T290" s="4">
        <f t="shared" si="11"/>
        <v>2600.243093922652</v>
      </c>
    </row>
    <row r="291" spans="1:20" hidden="1" x14ac:dyDescent="0.3">
      <c r="A291">
        <v>353870905000345</v>
      </c>
      <c r="B291" t="s">
        <v>217</v>
      </c>
      <c r="C291" t="s">
        <v>179</v>
      </c>
      <c r="D291">
        <v>1</v>
      </c>
      <c r="E291">
        <v>0</v>
      </c>
      <c r="F291" s="1">
        <v>400100</v>
      </c>
      <c r="G291" s="1">
        <v>400100</v>
      </c>
      <c r="H291" s="1">
        <v>0</v>
      </c>
      <c r="I291" s="3">
        <v>0</v>
      </c>
      <c r="J291" s="3">
        <v>6</v>
      </c>
      <c r="K291" s="3">
        <v>10</v>
      </c>
      <c r="L291" s="3">
        <v>33</v>
      </c>
      <c r="M291" s="3">
        <v>59</v>
      </c>
      <c r="N291" s="3">
        <v>17</v>
      </c>
      <c r="O291" s="3">
        <v>11</v>
      </c>
      <c r="P291" s="3">
        <v>2</v>
      </c>
      <c r="Q291" s="3">
        <v>1</v>
      </c>
      <c r="R291" s="3">
        <v>15</v>
      </c>
      <c r="S291" s="2">
        <f t="shared" si="10"/>
        <v>154</v>
      </c>
      <c r="T291" s="4">
        <f t="shared" si="11"/>
        <v>2598.0519480519479</v>
      </c>
    </row>
    <row r="292" spans="1:20" hidden="1" x14ac:dyDescent="0.3">
      <c r="A292">
        <v>353870905000003</v>
      </c>
      <c r="B292" t="s">
        <v>217</v>
      </c>
      <c r="C292" t="s">
        <v>28</v>
      </c>
      <c r="D292">
        <v>1</v>
      </c>
      <c r="E292">
        <v>0</v>
      </c>
      <c r="F292" s="1">
        <v>288250</v>
      </c>
      <c r="G292" s="1">
        <v>288250</v>
      </c>
      <c r="H292" s="1">
        <v>0</v>
      </c>
      <c r="I292" s="3">
        <v>0</v>
      </c>
      <c r="J292" s="3">
        <v>0</v>
      </c>
      <c r="K292" s="3">
        <v>3</v>
      </c>
      <c r="L292" s="3">
        <v>12</v>
      </c>
      <c r="M292" s="3">
        <v>30</v>
      </c>
      <c r="N292" s="3">
        <v>21</v>
      </c>
      <c r="O292" s="3">
        <v>27</v>
      </c>
      <c r="P292" s="3">
        <v>12</v>
      </c>
      <c r="Q292" s="3">
        <v>2</v>
      </c>
      <c r="R292" s="3">
        <v>4</v>
      </c>
      <c r="S292" s="2">
        <f t="shared" si="10"/>
        <v>111</v>
      </c>
      <c r="T292" s="4">
        <f t="shared" si="11"/>
        <v>2596.8468468468468</v>
      </c>
    </row>
    <row r="293" spans="1:20" hidden="1" x14ac:dyDescent="0.3">
      <c r="A293">
        <v>353870905000427</v>
      </c>
      <c r="B293" t="s">
        <v>217</v>
      </c>
      <c r="C293" t="s">
        <v>159</v>
      </c>
      <c r="D293">
        <v>1</v>
      </c>
      <c r="E293">
        <v>0</v>
      </c>
      <c r="F293" s="1">
        <v>406718</v>
      </c>
      <c r="G293" s="1">
        <v>406718</v>
      </c>
      <c r="H293" s="1">
        <v>0</v>
      </c>
      <c r="I293" s="3">
        <v>0</v>
      </c>
      <c r="J293" s="3">
        <v>2</v>
      </c>
      <c r="K293" s="3">
        <v>12</v>
      </c>
      <c r="L293" s="3">
        <v>43</v>
      </c>
      <c r="M293" s="3">
        <v>69</v>
      </c>
      <c r="N293" s="3">
        <v>21</v>
      </c>
      <c r="O293" s="3">
        <v>7</v>
      </c>
      <c r="P293" s="3">
        <v>3</v>
      </c>
      <c r="Q293" s="3">
        <v>0</v>
      </c>
      <c r="R293" s="3">
        <v>0</v>
      </c>
      <c r="S293" s="2">
        <f t="shared" si="10"/>
        <v>157</v>
      </c>
      <c r="T293" s="4">
        <f t="shared" si="11"/>
        <v>2590.56050955414</v>
      </c>
    </row>
    <row r="294" spans="1:20" hidden="1" x14ac:dyDescent="0.3">
      <c r="A294">
        <v>353870905000286</v>
      </c>
      <c r="B294" t="s">
        <v>217</v>
      </c>
      <c r="C294" t="s">
        <v>140</v>
      </c>
      <c r="D294">
        <v>1</v>
      </c>
      <c r="E294">
        <v>0</v>
      </c>
      <c r="F294" s="1">
        <v>328690</v>
      </c>
      <c r="G294" s="1">
        <v>328690</v>
      </c>
      <c r="H294" s="1">
        <v>0</v>
      </c>
      <c r="I294" s="3">
        <v>0</v>
      </c>
      <c r="J294" s="3">
        <v>0</v>
      </c>
      <c r="K294" s="3">
        <v>6</v>
      </c>
      <c r="L294" s="3">
        <v>29</v>
      </c>
      <c r="M294" s="3">
        <v>56</v>
      </c>
      <c r="N294" s="3">
        <v>17</v>
      </c>
      <c r="O294" s="3">
        <v>16</v>
      </c>
      <c r="P294" s="3">
        <v>3</v>
      </c>
      <c r="Q294" s="3">
        <v>0</v>
      </c>
      <c r="R294" s="3">
        <v>0</v>
      </c>
      <c r="S294" s="2">
        <f t="shared" si="10"/>
        <v>127</v>
      </c>
      <c r="T294" s="4">
        <f t="shared" si="11"/>
        <v>2588.1102362204724</v>
      </c>
    </row>
    <row r="295" spans="1:20" hidden="1" x14ac:dyDescent="0.3">
      <c r="A295">
        <v>353870905000205</v>
      </c>
      <c r="B295" t="s">
        <v>217</v>
      </c>
      <c r="C295" t="s">
        <v>167</v>
      </c>
      <c r="D295">
        <v>1</v>
      </c>
      <c r="E295">
        <v>0</v>
      </c>
      <c r="F295" s="1">
        <v>479723</v>
      </c>
      <c r="G295" s="1">
        <v>479723</v>
      </c>
      <c r="H295" s="1">
        <v>0</v>
      </c>
      <c r="I295" s="3">
        <v>0</v>
      </c>
      <c r="J295" s="3">
        <v>3</v>
      </c>
      <c r="K295" s="3">
        <v>7</v>
      </c>
      <c r="L295" s="3">
        <v>46</v>
      </c>
      <c r="M295" s="3">
        <v>78</v>
      </c>
      <c r="N295" s="3">
        <v>40</v>
      </c>
      <c r="O295" s="3">
        <v>8</v>
      </c>
      <c r="P295" s="3">
        <v>3</v>
      </c>
      <c r="Q295" s="3">
        <v>0</v>
      </c>
      <c r="R295" s="3">
        <v>1</v>
      </c>
      <c r="S295" s="2">
        <f t="shared" si="10"/>
        <v>186</v>
      </c>
      <c r="T295" s="4">
        <f t="shared" si="11"/>
        <v>2579.1559139784945</v>
      </c>
    </row>
    <row r="296" spans="1:20" hidden="1" x14ac:dyDescent="0.3">
      <c r="A296">
        <v>353870935000064</v>
      </c>
      <c r="B296" t="s">
        <v>217</v>
      </c>
      <c r="C296" t="s">
        <v>147</v>
      </c>
      <c r="D296">
        <v>1</v>
      </c>
      <c r="E296">
        <v>0</v>
      </c>
      <c r="F296" s="1">
        <v>456187</v>
      </c>
      <c r="G296" s="1">
        <v>456187</v>
      </c>
      <c r="H296" s="1">
        <v>0</v>
      </c>
      <c r="I296" s="3">
        <v>0</v>
      </c>
      <c r="J296" s="3">
        <v>1</v>
      </c>
      <c r="K296" s="3">
        <v>4</v>
      </c>
      <c r="L296" s="3">
        <v>33</v>
      </c>
      <c r="M296" s="3">
        <v>94</v>
      </c>
      <c r="N296" s="3">
        <v>27</v>
      </c>
      <c r="O296" s="3">
        <v>15</v>
      </c>
      <c r="P296" s="3">
        <v>1</v>
      </c>
      <c r="Q296" s="3">
        <v>0</v>
      </c>
      <c r="R296" s="3">
        <v>2</v>
      </c>
      <c r="S296" s="2">
        <f t="shared" si="10"/>
        <v>177</v>
      </c>
      <c r="T296" s="4">
        <f t="shared" si="11"/>
        <v>2577.3276836158193</v>
      </c>
    </row>
    <row r="297" spans="1:20" hidden="1" x14ac:dyDescent="0.3">
      <c r="A297">
        <v>353870905000162</v>
      </c>
      <c r="B297" t="s">
        <v>217</v>
      </c>
      <c r="C297" t="s">
        <v>116</v>
      </c>
      <c r="D297">
        <v>1</v>
      </c>
      <c r="E297">
        <v>0</v>
      </c>
      <c r="F297" s="1">
        <v>309189</v>
      </c>
      <c r="G297" s="1">
        <v>309189</v>
      </c>
      <c r="H297" s="1">
        <v>0</v>
      </c>
      <c r="I297" s="3">
        <v>0</v>
      </c>
      <c r="J297" s="3">
        <v>0</v>
      </c>
      <c r="K297" s="3">
        <v>12</v>
      </c>
      <c r="L297" s="3">
        <v>35</v>
      </c>
      <c r="M297" s="3">
        <v>46</v>
      </c>
      <c r="N297" s="3">
        <v>12</v>
      </c>
      <c r="O297" s="3">
        <v>7</v>
      </c>
      <c r="P297" s="3">
        <v>2</v>
      </c>
      <c r="Q297" s="3">
        <v>1</v>
      </c>
      <c r="R297" s="3">
        <v>5</v>
      </c>
      <c r="S297" s="2">
        <f t="shared" si="10"/>
        <v>120</v>
      </c>
      <c r="T297" s="4">
        <f t="shared" si="11"/>
        <v>2576.5749999999998</v>
      </c>
    </row>
    <row r="298" spans="1:20" hidden="1" x14ac:dyDescent="0.3">
      <c r="A298">
        <v>353870905000277</v>
      </c>
      <c r="B298" t="s">
        <v>217</v>
      </c>
      <c r="C298" t="s">
        <v>77</v>
      </c>
      <c r="D298">
        <v>1</v>
      </c>
      <c r="E298">
        <v>0</v>
      </c>
      <c r="F298" s="1">
        <v>432681</v>
      </c>
      <c r="G298" s="1">
        <v>432681</v>
      </c>
      <c r="H298" s="1">
        <v>0</v>
      </c>
      <c r="I298" s="3">
        <v>0</v>
      </c>
      <c r="J298" s="3">
        <v>1</v>
      </c>
      <c r="K298" s="3">
        <v>9</v>
      </c>
      <c r="L298" s="3">
        <v>24</v>
      </c>
      <c r="M298" s="3">
        <v>53</v>
      </c>
      <c r="N298" s="3">
        <v>37</v>
      </c>
      <c r="O298" s="3">
        <v>33</v>
      </c>
      <c r="P298" s="3">
        <v>7</v>
      </c>
      <c r="Q298" s="3">
        <v>1</v>
      </c>
      <c r="R298" s="3">
        <v>3</v>
      </c>
      <c r="S298" s="2">
        <f t="shared" si="10"/>
        <v>168</v>
      </c>
      <c r="T298" s="4">
        <f t="shared" si="11"/>
        <v>2575.4821428571427</v>
      </c>
    </row>
    <row r="299" spans="1:20" hidden="1" x14ac:dyDescent="0.3">
      <c r="A299">
        <v>353870905000500</v>
      </c>
      <c r="B299" t="s">
        <v>217</v>
      </c>
      <c r="C299" t="s">
        <v>140</v>
      </c>
      <c r="D299">
        <v>1</v>
      </c>
      <c r="E299">
        <v>0</v>
      </c>
      <c r="F299" s="1">
        <v>251602</v>
      </c>
      <c r="G299" s="1">
        <v>251602</v>
      </c>
      <c r="H299" s="1">
        <v>0</v>
      </c>
      <c r="I299" s="3">
        <v>0</v>
      </c>
      <c r="J299" s="3">
        <v>1</v>
      </c>
      <c r="K299" s="3">
        <v>10</v>
      </c>
      <c r="L299" s="3">
        <v>22</v>
      </c>
      <c r="M299" s="3">
        <v>39</v>
      </c>
      <c r="N299" s="3">
        <v>19</v>
      </c>
      <c r="O299" s="3">
        <v>3</v>
      </c>
      <c r="P299" s="3">
        <v>2</v>
      </c>
      <c r="Q299" s="3">
        <v>1</v>
      </c>
      <c r="R299" s="3">
        <v>1</v>
      </c>
      <c r="S299" s="2">
        <f t="shared" si="10"/>
        <v>98</v>
      </c>
      <c r="T299" s="4">
        <f t="shared" si="11"/>
        <v>2567.3673469387754</v>
      </c>
    </row>
    <row r="300" spans="1:20" hidden="1" x14ac:dyDescent="0.3">
      <c r="A300">
        <v>353870905000479</v>
      </c>
      <c r="B300" t="s">
        <v>217</v>
      </c>
      <c r="C300" t="s">
        <v>167</v>
      </c>
      <c r="D300">
        <v>1</v>
      </c>
      <c r="E300">
        <v>0</v>
      </c>
      <c r="F300" s="1">
        <v>269270</v>
      </c>
      <c r="G300" s="1">
        <v>269270</v>
      </c>
      <c r="H300" s="1">
        <v>0</v>
      </c>
      <c r="I300" s="3">
        <v>0</v>
      </c>
      <c r="J300" s="3">
        <v>0</v>
      </c>
      <c r="K300" s="3">
        <v>3</v>
      </c>
      <c r="L300" s="3">
        <v>24</v>
      </c>
      <c r="M300" s="3">
        <v>39</v>
      </c>
      <c r="N300" s="3">
        <v>22</v>
      </c>
      <c r="O300" s="3">
        <v>14</v>
      </c>
      <c r="P300" s="3">
        <v>3</v>
      </c>
      <c r="Q300" s="3">
        <v>0</v>
      </c>
      <c r="R300" s="3">
        <v>0</v>
      </c>
      <c r="S300" s="2">
        <f t="shared" si="10"/>
        <v>105</v>
      </c>
      <c r="T300" s="4">
        <f t="shared" si="11"/>
        <v>2564.4761904761904</v>
      </c>
    </row>
    <row r="301" spans="1:20" hidden="1" x14ac:dyDescent="0.3">
      <c r="A301">
        <v>353870930000001</v>
      </c>
      <c r="B301" t="s">
        <v>217</v>
      </c>
      <c r="C301" t="s">
        <v>218</v>
      </c>
      <c r="D301">
        <v>1</v>
      </c>
      <c r="E301">
        <v>0</v>
      </c>
      <c r="F301" s="1">
        <v>349560</v>
      </c>
      <c r="G301" s="1">
        <v>349560</v>
      </c>
      <c r="H301" s="1">
        <v>0</v>
      </c>
      <c r="I301" s="3">
        <v>0</v>
      </c>
      <c r="J301" s="3">
        <v>0</v>
      </c>
      <c r="K301" s="3">
        <v>6</v>
      </c>
      <c r="L301" s="3">
        <v>41</v>
      </c>
      <c r="M301" s="3">
        <v>57</v>
      </c>
      <c r="N301" s="3">
        <v>24</v>
      </c>
      <c r="O301" s="3">
        <v>8</v>
      </c>
      <c r="P301" s="3">
        <v>1</v>
      </c>
      <c r="Q301" s="3">
        <v>0</v>
      </c>
      <c r="R301" s="3">
        <v>0</v>
      </c>
      <c r="S301" s="2">
        <f t="shared" si="10"/>
        <v>137</v>
      </c>
      <c r="T301" s="4">
        <f t="shared" si="11"/>
        <v>2551.5328467153286</v>
      </c>
    </row>
    <row r="302" spans="1:20" hidden="1" x14ac:dyDescent="0.3">
      <c r="A302">
        <v>353870905000060</v>
      </c>
      <c r="B302" t="s">
        <v>217</v>
      </c>
      <c r="C302" t="s">
        <v>220</v>
      </c>
      <c r="D302">
        <v>1</v>
      </c>
      <c r="E302">
        <v>0</v>
      </c>
      <c r="F302" s="1">
        <v>650203</v>
      </c>
      <c r="G302" s="1">
        <v>650203</v>
      </c>
      <c r="H302" s="1">
        <v>0</v>
      </c>
      <c r="I302" s="3">
        <v>0</v>
      </c>
      <c r="J302" s="3">
        <v>0</v>
      </c>
      <c r="K302" s="3">
        <v>10</v>
      </c>
      <c r="L302" s="3">
        <v>50</v>
      </c>
      <c r="M302" s="3">
        <v>120</v>
      </c>
      <c r="N302" s="3">
        <v>42</v>
      </c>
      <c r="O302" s="3">
        <v>21</v>
      </c>
      <c r="P302" s="3">
        <v>11</v>
      </c>
      <c r="Q302" s="3">
        <v>0</v>
      </c>
      <c r="R302" s="3">
        <v>1</v>
      </c>
      <c r="S302" s="2">
        <f t="shared" si="10"/>
        <v>255</v>
      </c>
      <c r="T302" s="4">
        <f t="shared" si="11"/>
        <v>2549.81568627451</v>
      </c>
    </row>
    <row r="303" spans="1:20" hidden="1" x14ac:dyDescent="0.3">
      <c r="A303">
        <v>353870905000218</v>
      </c>
      <c r="B303" t="s">
        <v>217</v>
      </c>
      <c r="C303" t="s">
        <v>129</v>
      </c>
      <c r="D303">
        <v>1</v>
      </c>
      <c r="E303">
        <v>2</v>
      </c>
      <c r="F303" s="1">
        <v>802276</v>
      </c>
      <c r="G303" s="1">
        <v>800876</v>
      </c>
      <c r="H303" s="1">
        <v>1400</v>
      </c>
      <c r="I303" s="3">
        <v>1</v>
      </c>
      <c r="J303" s="3">
        <v>3</v>
      </c>
      <c r="K303" s="3">
        <v>15</v>
      </c>
      <c r="L303" s="3">
        <v>71</v>
      </c>
      <c r="M303" s="3">
        <v>133</v>
      </c>
      <c r="N303" s="3">
        <v>62</v>
      </c>
      <c r="O303" s="3">
        <v>23</v>
      </c>
      <c r="P303" s="3">
        <v>4</v>
      </c>
      <c r="Q303" s="3">
        <v>0</v>
      </c>
      <c r="R303" s="3">
        <v>3</v>
      </c>
      <c r="S303" s="2">
        <f t="shared" si="10"/>
        <v>315</v>
      </c>
      <c r="T303" s="4">
        <f t="shared" si="11"/>
        <v>2546.9079365079365</v>
      </c>
    </row>
    <row r="304" spans="1:20" hidden="1" x14ac:dyDescent="0.3">
      <c r="A304">
        <v>353870905000172</v>
      </c>
      <c r="B304" t="s">
        <v>217</v>
      </c>
      <c r="C304" t="s">
        <v>135</v>
      </c>
      <c r="D304">
        <v>1</v>
      </c>
      <c r="E304">
        <v>0</v>
      </c>
      <c r="F304" s="1">
        <v>376561</v>
      </c>
      <c r="G304" s="1">
        <v>376561</v>
      </c>
      <c r="H304" s="1">
        <v>0</v>
      </c>
      <c r="I304" s="3">
        <v>0</v>
      </c>
      <c r="J304" s="3">
        <v>0</v>
      </c>
      <c r="K304" s="3">
        <v>2</v>
      </c>
      <c r="L304" s="3">
        <v>41</v>
      </c>
      <c r="M304" s="3">
        <v>60</v>
      </c>
      <c r="N304" s="3">
        <v>26</v>
      </c>
      <c r="O304" s="3">
        <v>15</v>
      </c>
      <c r="P304" s="3">
        <v>4</v>
      </c>
      <c r="Q304" s="3">
        <v>0</v>
      </c>
      <c r="R304" s="3">
        <v>0</v>
      </c>
      <c r="S304" s="2">
        <f t="shared" si="10"/>
        <v>148</v>
      </c>
      <c r="T304" s="4">
        <f t="shared" si="11"/>
        <v>2544.3310810810813</v>
      </c>
    </row>
    <row r="305" spans="1:20" hidden="1" x14ac:dyDescent="0.3">
      <c r="A305">
        <v>353870905000336</v>
      </c>
      <c r="B305" t="s">
        <v>217</v>
      </c>
      <c r="C305" t="s">
        <v>188</v>
      </c>
      <c r="D305">
        <v>1</v>
      </c>
      <c r="E305">
        <v>0</v>
      </c>
      <c r="F305" s="1">
        <v>159926</v>
      </c>
      <c r="G305" s="1">
        <v>159926</v>
      </c>
      <c r="H305" s="1">
        <v>0</v>
      </c>
      <c r="I305" s="3">
        <v>1</v>
      </c>
      <c r="J305" s="3">
        <v>2</v>
      </c>
      <c r="K305" s="3">
        <v>7</v>
      </c>
      <c r="L305" s="3">
        <v>22</v>
      </c>
      <c r="M305" s="3">
        <v>20</v>
      </c>
      <c r="N305" s="3">
        <v>4</v>
      </c>
      <c r="O305" s="3">
        <v>4</v>
      </c>
      <c r="P305" s="3">
        <v>2</v>
      </c>
      <c r="Q305" s="3">
        <v>1</v>
      </c>
      <c r="R305" s="3">
        <v>0</v>
      </c>
      <c r="S305" s="2">
        <f t="shared" si="10"/>
        <v>63</v>
      </c>
      <c r="T305" s="4">
        <f t="shared" si="11"/>
        <v>2538.5079365079364</v>
      </c>
    </row>
    <row r="306" spans="1:20" hidden="1" x14ac:dyDescent="0.3">
      <c r="A306">
        <v>353870905000059</v>
      </c>
      <c r="B306" t="s">
        <v>217</v>
      </c>
      <c r="C306" t="s">
        <v>220</v>
      </c>
      <c r="D306">
        <v>1</v>
      </c>
      <c r="E306">
        <v>0</v>
      </c>
      <c r="F306" s="1">
        <v>606761</v>
      </c>
      <c r="G306" s="1">
        <v>606761</v>
      </c>
      <c r="H306" s="1">
        <v>0</v>
      </c>
      <c r="I306" s="3">
        <v>0</v>
      </c>
      <c r="J306" s="3">
        <v>5</v>
      </c>
      <c r="K306" s="3">
        <v>14</v>
      </c>
      <c r="L306" s="3">
        <v>43</v>
      </c>
      <c r="M306" s="3">
        <v>97</v>
      </c>
      <c r="N306" s="3">
        <v>43</v>
      </c>
      <c r="O306" s="3">
        <v>27</v>
      </c>
      <c r="P306" s="3">
        <v>7</v>
      </c>
      <c r="Q306" s="3">
        <v>1</v>
      </c>
      <c r="R306" s="3">
        <v>3</v>
      </c>
      <c r="S306" s="2">
        <f t="shared" si="10"/>
        <v>240</v>
      </c>
      <c r="T306" s="4">
        <f t="shared" si="11"/>
        <v>2528.1708333333331</v>
      </c>
    </row>
    <row r="307" spans="1:20" hidden="1" x14ac:dyDescent="0.3">
      <c r="A307">
        <v>353870935000010</v>
      </c>
      <c r="B307" t="s">
        <v>217</v>
      </c>
      <c r="C307" t="s">
        <v>170</v>
      </c>
      <c r="D307">
        <v>1</v>
      </c>
      <c r="E307">
        <v>0</v>
      </c>
      <c r="F307" s="1">
        <v>395971</v>
      </c>
      <c r="G307" s="1">
        <v>395971</v>
      </c>
      <c r="H307" s="1">
        <v>0</v>
      </c>
      <c r="I307" s="3">
        <v>0</v>
      </c>
      <c r="J307" s="3">
        <v>1</v>
      </c>
      <c r="K307" s="3">
        <v>10</v>
      </c>
      <c r="L307" s="3">
        <v>38</v>
      </c>
      <c r="M307" s="3">
        <v>75</v>
      </c>
      <c r="N307" s="3">
        <v>16</v>
      </c>
      <c r="O307" s="3">
        <v>9</v>
      </c>
      <c r="P307" s="3">
        <v>5</v>
      </c>
      <c r="Q307" s="3">
        <v>0</v>
      </c>
      <c r="R307" s="3">
        <v>3</v>
      </c>
      <c r="S307" s="2">
        <f t="shared" si="10"/>
        <v>157</v>
      </c>
      <c r="T307" s="4">
        <f t="shared" si="11"/>
        <v>2522.1082802547771</v>
      </c>
    </row>
    <row r="308" spans="1:20" hidden="1" x14ac:dyDescent="0.3">
      <c r="A308">
        <v>353870905000281</v>
      </c>
      <c r="B308" t="s">
        <v>217</v>
      </c>
      <c r="C308" t="s">
        <v>140</v>
      </c>
      <c r="D308">
        <v>2</v>
      </c>
      <c r="E308">
        <v>0</v>
      </c>
      <c r="F308" s="1">
        <v>442858</v>
      </c>
      <c r="G308" s="1">
        <v>442858</v>
      </c>
      <c r="H308" s="1">
        <v>0</v>
      </c>
      <c r="I308" s="3">
        <v>0</v>
      </c>
      <c r="J308" s="3">
        <v>3</v>
      </c>
      <c r="K308" s="3">
        <v>10</v>
      </c>
      <c r="L308" s="3">
        <v>48</v>
      </c>
      <c r="M308" s="3">
        <v>72</v>
      </c>
      <c r="N308" s="3">
        <v>25</v>
      </c>
      <c r="O308" s="3">
        <v>11</v>
      </c>
      <c r="P308" s="3">
        <v>6</v>
      </c>
      <c r="Q308" s="3">
        <v>1</v>
      </c>
      <c r="R308" s="3">
        <v>0</v>
      </c>
      <c r="S308" s="2">
        <f t="shared" si="10"/>
        <v>176</v>
      </c>
      <c r="T308" s="4">
        <f t="shared" si="11"/>
        <v>2516.2386363636365</v>
      </c>
    </row>
    <row r="309" spans="1:20" hidden="1" x14ac:dyDescent="0.3">
      <c r="A309">
        <v>353870905000477</v>
      </c>
      <c r="B309" t="s">
        <v>217</v>
      </c>
      <c r="C309" t="s">
        <v>82</v>
      </c>
      <c r="D309">
        <v>1</v>
      </c>
      <c r="E309">
        <v>0</v>
      </c>
      <c r="F309" s="1">
        <v>87912</v>
      </c>
      <c r="G309" s="1">
        <v>87912</v>
      </c>
      <c r="H309" s="1">
        <v>0</v>
      </c>
      <c r="I309" s="3">
        <v>0</v>
      </c>
      <c r="J309" s="3">
        <v>0</v>
      </c>
      <c r="K309" s="3">
        <v>1</v>
      </c>
      <c r="L309" s="3">
        <v>7</v>
      </c>
      <c r="M309" s="3">
        <v>11</v>
      </c>
      <c r="N309" s="3">
        <v>9</v>
      </c>
      <c r="O309" s="3">
        <v>1</v>
      </c>
      <c r="P309" s="3">
        <v>0</v>
      </c>
      <c r="Q309" s="3">
        <v>0</v>
      </c>
      <c r="R309" s="3">
        <v>6</v>
      </c>
      <c r="S309" s="2">
        <f t="shared" si="10"/>
        <v>35</v>
      </c>
      <c r="T309" s="4">
        <f t="shared" si="11"/>
        <v>2511.7714285714287</v>
      </c>
    </row>
    <row r="310" spans="1:20" hidden="1" x14ac:dyDescent="0.3">
      <c r="A310">
        <v>353870905000058</v>
      </c>
      <c r="B310" t="s">
        <v>217</v>
      </c>
      <c r="C310" t="s">
        <v>220</v>
      </c>
      <c r="D310">
        <v>1</v>
      </c>
      <c r="E310">
        <v>0</v>
      </c>
      <c r="F310" s="1">
        <v>396771</v>
      </c>
      <c r="G310" s="1">
        <v>396771</v>
      </c>
      <c r="H310" s="1">
        <v>0</v>
      </c>
      <c r="I310" s="3">
        <v>0</v>
      </c>
      <c r="J310" s="3">
        <v>2</v>
      </c>
      <c r="K310" s="3">
        <v>5</v>
      </c>
      <c r="L310" s="3">
        <v>27</v>
      </c>
      <c r="M310" s="3">
        <v>61</v>
      </c>
      <c r="N310" s="3">
        <v>33</v>
      </c>
      <c r="O310" s="3">
        <v>25</v>
      </c>
      <c r="P310" s="3">
        <v>3</v>
      </c>
      <c r="Q310" s="3">
        <v>2</v>
      </c>
      <c r="R310" s="3">
        <v>0</v>
      </c>
      <c r="S310" s="2">
        <f t="shared" si="10"/>
        <v>158</v>
      </c>
      <c r="T310" s="4">
        <f t="shared" si="11"/>
        <v>2511.2088607594937</v>
      </c>
    </row>
    <row r="311" spans="1:20" hidden="1" x14ac:dyDescent="0.3">
      <c r="A311">
        <v>353870935000055</v>
      </c>
      <c r="B311" t="s">
        <v>217</v>
      </c>
      <c r="C311" t="s">
        <v>155</v>
      </c>
      <c r="D311">
        <v>1</v>
      </c>
      <c r="E311">
        <v>0</v>
      </c>
      <c r="F311" s="1">
        <v>483731</v>
      </c>
      <c r="G311" s="1">
        <v>483731</v>
      </c>
      <c r="H311" s="1">
        <v>0</v>
      </c>
      <c r="I311" s="3">
        <v>0</v>
      </c>
      <c r="J311" s="3">
        <v>1</v>
      </c>
      <c r="K311" s="3">
        <v>12</v>
      </c>
      <c r="L311" s="3">
        <v>55</v>
      </c>
      <c r="M311" s="3">
        <v>74</v>
      </c>
      <c r="N311" s="3">
        <v>35</v>
      </c>
      <c r="O311" s="3">
        <v>12</v>
      </c>
      <c r="P311" s="3">
        <v>2</v>
      </c>
      <c r="Q311" s="3">
        <v>0</v>
      </c>
      <c r="R311" s="3">
        <v>2</v>
      </c>
      <c r="S311" s="2">
        <f t="shared" si="10"/>
        <v>193</v>
      </c>
      <c r="T311" s="4">
        <f t="shared" si="11"/>
        <v>2506.3782383419689</v>
      </c>
    </row>
    <row r="312" spans="1:20" hidden="1" x14ac:dyDescent="0.3">
      <c r="A312">
        <v>353870905000215</v>
      </c>
      <c r="B312" t="s">
        <v>217</v>
      </c>
      <c r="C312" t="s">
        <v>167</v>
      </c>
      <c r="D312">
        <v>1</v>
      </c>
      <c r="E312">
        <v>0</v>
      </c>
      <c r="F312" s="1">
        <v>475844</v>
      </c>
      <c r="G312" s="1">
        <v>475844</v>
      </c>
      <c r="H312" s="1">
        <v>0</v>
      </c>
      <c r="I312" s="3">
        <v>0</v>
      </c>
      <c r="J312" s="3">
        <v>1</v>
      </c>
      <c r="K312" s="3">
        <v>11</v>
      </c>
      <c r="L312" s="3">
        <v>39</v>
      </c>
      <c r="M312" s="3">
        <v>86</v>
      </c>
      <c r="N312" s="3">
        <v>32</v>
      </c>
      <c r="O312" s="3">
        <v>16</v>
      </c>
      <c r="P312" s="3">
        <v>2</v>
      </c>
      <c r="Q312" s="3">
        <v>0</v>
      </c>
      <c r="R312" s="3">
        <v>3</v>
      </c>
      <c r="S312" s="2">
        <f t="shared" si="10"/>
        <v>190</v>
      </c>
      <c r="T312" s="4">
        <f t="shared" si="11"/>
        <v>2504.4421052631578</v>
      </c>
    </row>
    <row r="313" spans="1:20" hidden="1" x14ac:dyDescent="0.3">
      <c r="A313">
        <v>353870905000141</v>
      </c>
      <c r="B313" t="s">
        <v>217</v>
      </c>
      <c r="C313" t="s">
        <v>31</v>
      </c>
      <c r="D313">
        <v>1</v>
      </c>
      <c r="E313">
        <v>0</v>
      </c>
      <c r="F313" s="1">
        <v>487242</v>
      </c>
      <c r="G313" s="1">
        <v>487242</v>
      </c>
      <c r="H313" s="1">
        <v>0</v>
      </c>
      <c r="I313" s="3">
        <v>0</v>
      </c>
      <c r="J313" s="3">
        <v>2</v>
      </c>
      <c r="K313" s="3">
        <v>8</v>
      </c>
      <c r="L313" s="3">
        <v>42</v>
      </c>
      <c r="M313" s="3">
        <v>75</v>
      </c>
      <c r="N313" s="3">
        <v>25</v>
      </c>
      <c r="O313" s="3">
        <v>25</v>
      </c>
      <c r="P313" s="3">
        <v>8</v>
      </c>
      <c r="Q313" s="3">
        <v>1</v>
      </c>
      <c r="R313" s="3">
        <v>9</v>
      </c>
      <c r="S313" s="2">
        <f t="shared" si="10"/>
        <v>195</v>
      </c>
      <c r="T313" s="4">
        <f t="shared" si="11"/>
        <v>2498.6769230769232</v>
      </c>
    </row>
    <row r="314" spans="1:20" hidden="1" x14ac:dyDescent="0.3">
      <c r="A314">
        <v>353870935000069</v>
      </c>
      <c r="B314" t="s">
        <v>217</v>
      </c>
      <c r="C314" t="s">
        <v>155</v>
      </c>
      <c r="D314">
        <v>1</v>
      </c>
      <c r="E314">
        <v>0</v>
      </c>
      <c r="F314" s="1">
        <v>237242</v>
      </c>
      <c r="G314" s="1">
        <v>237242</v>
      </c>
      <c r="H314" s="1">
        <v>0</v>
      </c>
      <c r="I314" s="3">
        <v>0</v>
      </c>
      <c r="J314" s="3">
        <v>1</v>
      </c>
      <c r="K314" s="3">
        <v>7</v>
      </c>
      <c r="L314" s="3">
        <v>25</v>
      </c>
      <c r="M314" s="3">
        <v>32</v>
      </c>
      <c r="N314" s="3">
        <v>21</v>
      </c>
      <c r="O314" s="3">
        <v>5</v>
      </c>
      <c r="P314" s="3">
        <v>1</v>
      </c>
      <c r="Q314" s="3">
        <v>0</v>
      </c>
      <c r="R314" s="3">
        <v>3</v>
      </c>
      <c r="S314" s="2">
        <f t="shared" si="10"/>
        <v>95</v>
      </c>
      <c r="T314" s="4">
        <f t="shared" si="11"/>
        <v>2497.2842105263157</v>
      </c>
    </row>
    <row r="315" spans="1:20" hidden="1" x14ac:dyDescent="0.3">
      <c r="A315">
        <v>353870905000107</v>
      </c>
      <c r="B315" t="s">
        <v>217</v>
      </c>
      <c r="C315" t="s">
        <v>127</v>
      </c>
      <c r="D315">
        <v>1</v>
      </c>
      <c r="E315">
        <v>0</v>
      </c>
      <c r="F315" s="1">
        <v>667952</v>
      </c>
      <c r="G315" s="1">
        <v>667952</v>
      </c>
      <c r="H315" s="1">
        <v>0</v>
      </c>
      <c r="I315" s="3">
        <v>0</v>
      </c>
      <c r="J315" s="3">
        <v>2</v>
      </c>
      <c r="K315" s="3">
        <v>16</v>
      </c>
      <c r="L315" s="3">
        <v>67</v>
      </c>
      <c r="M315" s="3">
        <v>104</v>
      </c>
      <c r="N315" s="3">
        <v>48</v>
      </c>
      <c r="O315" s="3">
        <v>20</v>
      </c>
      <c r="P315" s="3">
        <v>7</v>
      </c>
      <c r="Q315" s="3">
        <v>3</v>
      </c>
      <c r="R315" s="3">
        <v>1</v>
      </c>
      <c r="S315" s="2">
        <f t="shared" si="10"/>
        <v>268</v>
      </c>
      <c r="T315" s="4">
        <f t="shared" si="11"/>
        <v>2492.3582089552237</v>
      </c>
    </row>
    <row r="316" spans="1:20" hidden="1" x14ac:dyDescent="0.3">
      <c r="A316">
        <v>353870905000285</v>
      </c>
      <c r="B316" t="s">
        <v>217</v>
      </c>
      <c r="C316" t="s">
        <v>140</v>
      </c>
      <c r="D316">
        <v>1</v>
      </c>
      <c r="E316">
        <v>0</v>
      </c>
      <c r="F316" s="1">
        <v>384841</v>
      </c>
      <c r="G316" s="1">
        <v>384841</v>
      </c>
      <c r="H316" s="1">
        <v>0</v>
      </c>
      <c r="I316" s="3">
        <v>0</v>
      </c>
      <c r="J316" s="3">
        <v>2</v>
      </c>
      <c r="K316" s="3">
        <v>10</v>
      </c>
      <c r="L316" s="3">
        <v>37</v>
      </c>
      <c r="M316" s="3">
        <v>67</v>
      </c>
      <c r="N316" s="3">
        <v>24</v>
      </c>
      <c r="O316" s="3">
        <v>8</v>
      </c>
      <c r="P316" s="3">
        <v>3</v>
      </c>
      <c r="Q316" s="3">
        <v>0</v>
      </c>
      <c r="R316" s="3">
        <v>4</v>
      </c>
      <c r="S316" s="2">
        <f t="shared" si="10"/>
        <v>155</v>
      </c>
      <c r="T316" s="4">
        <f t="shared" si="11"/>
        <v>2482.8451612903227</v>
      </c>
    </row>
    <row r="317" spans="1:20" hidden="1" x14ac:dyDescent="0.3">
      <c r="A317">
        <v>353870905000253</v>
      </c>
      <c r="B317" t="s">
        <v>217</v>
      </c>
      <c r="C317" t="s">
        <v>116</v>
      </c>
      <c r="D317">
        <v>1</v>
      </c>
      <c r="E317">
        <v>0</v>
      </c>
      <c r="F317" s="1">
        <v>584672</v>
      </c>
      <c r="G317" s="1">
        <v>584672</v>
      </c>
      <c r="H317" s="1">
        <v>0</v>
      </c>
      <c r="I317" s="3">
        <v>0</v>
      </c>
      <c r="J317" s="3">
        <v>4</v>
      </c>
      <c r="K317" s="3">
        <v>12</v>
      </c>
      <c r="L317" s="3">
        <v>55</v>
      </c>
      <c r="M317" s="3">
        <v>105</v>
      </c>
      <c r="N317" s="3">
        <v>31</v>
      </c>
      <c r="O317" s="3">
        <v>23</v>
      </c>
      <c r="P317" s="3">
        <v>2</v>
      </c>
      <c r="Q317" s="3">
        <v>0</v>
      </c>
      <c r="R317" s="3">
        <v>4</v>
      </c>
      <c r="S317" s="2">
        <f t="shared" si="10"/>
        <v>236</v>
      </c>
      <c r="T317" s="4">
        <f t="shared" si="11"/>
        <v>2477.4237288135591</v>
      </c>
    </row>
    <row r="318" spans="1:20" hidden="1" x14ac:dyDescent="0.3">
      <c r="A318">
        <v>353870905000425</v>
      </c>
      <c r="B318" t="s">
        <v>217</v>
      </c>
      <c r="C318" t="s">
        <v>159</v>
      </c>
      <c r="D318">
        <v>1</v>
      </c>
      <c r="E318">
        <v>0</v>
      </c>
      <c r="F318" s="1">
        <v>423286</v>
      </c>
      <c r="G318" s="1">
        <v>423286</v>
      </c>
      <c r="H318" s="1">
        <v>0</v>
      </c>
      <c r="I318" s="3">
        <v>0</v>
      </c>
      <c r="J318" s="3">
        <v>1</v>
      </c>
      <c r="K318" s="3">
        <v>14</v>
      </c>
      <c r="L318" s="3">
        <v>45</v>
      </c>
      <c r="M318" s="3">
        <v>71</v>
      </c>
      <c r="N318" s="3">
        <v>21</v>
      </c>
      <c r="O318" s="3">
        <v>12</v>
      </c>
      <c r="P318" s="3">
        <v>1</v>
      </c>
      <c r="Q318" s="3">
        <v>0</v>
      </c>
      <c r="R318" s="3">
        <v>6</v>
      </c>
      <c r="S318" s="2">
        <f t="shared" si="10"/>
        <v>171</v>
      </c>
      <c r="T318" s="4">
        <f t="shared" si="11"/>
        <v>2475.3567251461986</v>
      </c>
    </row>
    <row r="319" spans="1:20" hidden="1" x14ac:dyDescent="0.3">
      <c r="A319">
        <v>353870905000318</v>
      </c>
      <c r="B319" t="s">
        <v>217</v>
      </c>
      <c r="C319" t="s">
        <v>114</v>
      </c>
      <c r="D319">
        <v>1</v>
      </c>
      <c r="E319">
        <v>0</v>
      </c>
      <c r="F319" s="1">
        <v>879586</v>
      </c>
      <c r="G319" s="1">
        <v>879586</v>
      </c>
      <c r="H319" s="1">
        <v>0</v>
      </c>
      <c r="I319" s="3">
        <v>1</v>
      </c>
      <c r="J319" s="3">
        <v>4</v>
      </c>
      <c r="K319" s="3">
        <v>27</v>
      </c>
      <c r="L319" s="3">
        <v>96</v>
      </c>
      <c r="M319" s="3">
        <v>136</v>
      </c>
      <c r="N319" s="3">
        <v>49</v>
      </c>
      <c r="O319" s="3">
        <v>27</v>
      </c>
      <c r="P319" s="3">
        <v>8</v>
      </c>
      <c r="Q319" s="3">
        <v>2</v>
      </c>
      <c r="R319" s="3">
        <v>6</v>
      </c>
      <c r="S319" s="2">
        <f t="shared" si="10"/>
        <v>356</v>
      </c>
      <c r="T319" s="4">
        <f t="shared" si="11"/>
        <v>2470.7471910112358</v>
      </c>
    </row>
    <row r="320" spans="1:20" hidden="1" x14ac:dyDescent="0.3">
      <c r="A320">
        <v>353870905000197</v>
      </c>
      <c r="B320" t="s">
        <v>217</v>
      </c>
      <c r="C320" t="s">
        <v>127</v>
      </c>
      <c r="D320">
        <v>1</v>
      </c>
      <c r="E320">
        <v>0</v>
      </c>
      <c r="F320" s="1">
        <v>377051</v>
      </c>
      <c r="G320" s="1">
        <v>377051</v>
      </c>
      <c r="H320" s="1">
        <v>0</v>
      </c>
      <c r="I320" s="3">
        <v>0</v>
      </c>
      <c r="J320" s="3">
        <v>2</v>
      </c>
      <c r="K320" s="3">
        <v>16</v>
      </c>
      <c r="L320" s="3">
        <v>28</v>
      </c>
      <c r="M320" s="3">
        <v>72</v>
      </c>
      <c r="N320" s="3">
        <v>18</v>
      </c>
      <c r="O320" s="3">
        <v>12</v>
      </c>
      <c r="P320" s="3">
        <v>4</v>
      </c>
      <c r="Q320" s="3">
        <v>0</v>
      </c>
      <c r="R320" s="3">
        <v>1</v>
      </c>
      <c r="S320" s="2">
        <f t="shared" si="10"/>
        <v>153</v>
      </c>
      <c r="T320" s="4">
        <f t="shared" si="11"/>
        <v>2464.3856209150326</v>
      </c>
    </row>
    <row r="321" spans="1:20" hidden="1" x14ac:dyDescent="0.3">
      <c r="A321">
        <v>353870905000431</v>
      </c>
      <c r="B321" t="s">
        <v>217</v>
      </c>
      <c r="C321" t="s">
        <v>159</v>
      </c>
      <c r="D321">
        <v>1</v>
      </c>
      <c r="E321">
        <v>0</v>
      </c>
      <c r="F321" s="1">
        <v>445414</v>
      </c>
      <c r="G321" s="1">
        <v>445414</v>
      </c>
      <c r="H321" s="1">
        <v>0</v>
      </c>
      <c r="I321" s="3">
        <v>0</v>
      </c>
      <c r="J321" s="3">
        <v>2</v>
      </c>
      <c r="K321" s="3">
        <v>8</v>
      </c>
      <c r="L321" s="3">
        <v>52</v>
      </c>
      <c r="M321" s="3">
        <v>84</v>
      </c>
      <c r="N321" s="3">
        <v>23</v>
      </c>
      <c r="O321" s="3">
        <v>9</v>
      </c>
      <c r="P321" s="3">
        <v>2</v>
      </c>
      <c r="Q321" s="3">
        <v>0</v>
      </c>
      <c r="R321" s="3">
        <v>1</v>
      </c>
      <c r="S321" s="2">
        <f t="shared" si="10"/>
        <v>181</v>
      </c>
      <c r="T321" s="4">
        <f t="shared" si="11"/>
        <v>2460.8508287292816</v>
      </c>
    </row>
    <row r="322" spans="1:20" hidden="1" x14ac:dyDescent="0.3">
      <c r="A322">
        <v>353870905000504</v>
      </c>
      <c r="B322" t="s">
        <v>217</v>
      </c>
      <c r="C322" t="s">
        <v>147</v>
      </c>
      <c r="D322">
        <v>1</v>
      </c>
      <c r="E322">
        <v>0</v>
      </c>
      <c r="F322" s="1">
        <v>191761</v>
      </c>
      <c r="G322" s="1">
        <v>191761</v>
      </c>
      <c r="H322" s="1">
        <v>0</v>
      </c>
      <c r="I322" s="3">
        <v>0</v>
      </c>
      <c r="J322" s="3">
        <v>0</v>
      </c>
      <c r="K322" s="3">
        <v>2</v>
      </c>
      <c r="L322" s="3">
        <v>23</v>
      </c>
      <c r="M322" s="3">
        <v>32</v>
      </c>
      <c r="N322" s="3">
        <v>13</v>
      </c>
      <c r="O322" s="3">
        <v>4</v>
      </c>
      <c r="P322" s="3">
        <v>1</v>
      </c>
      <c r="Q322" s="3">
        <v>1</v>
      </c>
      <c r="R322" s="3">
        <v>2</v>
      </c>
      <c r="S322" s="2">
        <f t="shared" si="10"/>
        <v>78</v>
      </c>
      <c r="T322" s="4">
        <f t="shared" si="11"/>
        <v>2458.4743589743589</v>
      </c>
    </row>
    <row r="323" spans="1:20" hidden="1" x14ac:dyDescent="0.3">
      <c r="A323">
        <v>353870925000005</v>
      </c>
      <c r="B323" t="s">
        <v>217</v>
      </c>
      <c r="C323" t="s">
        <v>218</v>
      </c>
      <c r="D323">
        <v>8</v>
      </c>
      <c r="E323">
        <v>0</v>
      </c>
      <c r="F323" s="1">
        <v>34401</v>
      </c>
      <c r="G323" s="1">
        <v>34401</v>
      </c>
      <c r="H323" s="1">
        <v>0</v>
      </c>
      <c r="I323" s="3">
        <v>0</v>
      </c>
      <c r="J323" s="3">
        <v>2</v>
      </c>
      <c r="K323" s="3">
        <v>0</v>
      </c>
      <c r="L323" s="3">
        <v>2</v>
      </c>
      <c r="M323" s="3">
        <v>7</v>
      </c>
      <c r="N323" s="3">
        <v>1</v>
      </c>
      <c r="O323" s="3">
        <v>0</v>
      </c>
      <c r="P323" s="3">
        <v>0</v>
      </c>
      <c r="Q323" s="3">
        <v>1</v>
      </c>
      <c r="R323" s="3">
        <v>1</v>
      </c>
      <c r="S323" s="2">
        <f t="shared" ref="S323:S386" si="12">SUM(I323:R323)</f>
        <v>14</v>
      </c>
      <c r="T323" s="4">
        <f t="shared" ref="T323:T386" si="13">F323/S323</f>
        <v>2457.2142857142858</v>
      </c>
    </row>
    <row r="324" spans="1:20" hidden="1" x14ac:dyDescent="0.3">
      <c r="A324">
        <v>353870905000153</v>
      </c>
      <c r="B324" t="s">
        <v>217</v>
      </c>
      <c r="C324" t="s">
        <v>116</v>
      </c>
      <c r="D324">
        <v>1</v>
      </c>
      <c r="E324">
        <v>1</v>
      </c>
      <c r="F324" s="1">
        <v>478232</v>
      </c>
      <c r="G324" s="1">
        <v>475932</v>
      </c>
      <c r="H324" s="1">
        <v>2300</v>
      </c>
      <c r="I324" s="3">
        <v>0</v>
      </c>
      <c r="J324" s="3">
        <v>2</v>
      </c>
      <c r="K324" s="3">
        <v>13</v>
      </c>
      <c r="L324" s="3">
        <v>60</v>
      </c>
      <c r="M324" s="3">
        <v>63</v>
      </c>
      <c r="N324" s="3">
        <v>29</v>
      </c>
      <c r="O324" s="3">
        <v>15</v>
      </c>
      <c r="P324" s="3">
        <v>8</v>
      </c>
      <c r="Q324" s="3">
        <v>0</v>
      </c>
      <c r="R324" s="3">
        <v>5</v>
      </c>
      <c r="S324" s="2">
        <f t="shared" si="12"/>
        <v>195</v>
      </c>
      <c r="T324" s="4">
        <f t="shared" si="13"/>
        <v>2452.4717948717948</v>
      </c>
    </row>
    <row r="325" spans="1:20" hidden="1" x14ac:dyDescent="0.3">
      <c r="A325">
        <v>353870925000003</v>
      </c>
      <c r="B325" t="s">
        <v>217</v>
      </c>
      <c r="C325" t="s">
        <v>218</v>
      </c>
      <c r="D325">
        <v>1</v>
      </c>
      <c r="E325">
        <v>0</v>
      </c>
      <c r="F325" s="1">
        <v>574821</v>
      </c>
      <c r="G325" s="1">
        <v>574821</v>
      </c>
      <c r="H325" s="1">
        <v>0</v>
      </c>
      <c r="I325" s="3">
        <v>1</v>
      </c>
      <c r="J325" s="3">
        <v>1</v>
      </c>
      <c r="K325" s="3">
        <v>15</v>
      </c>
      <c r="L325" s="3">
        <v>51</v>
      </c>
      <c r="M325" s="3">
        <v>119</v>
      </c>
      <c r="N325" s="3">
        <v>29</v>
      </c>
      <c r="O325" s="3">
        <v>11</v>
      </c>
      <c r="P325" s="3">
        <v>5</v>
      </c>
      <c r="Q325" s="3">
        <v>0</v>
      </c>
      <c r="R325" s="3">
        <v>3</v>
      </c>
      <c r="S325" s="2">
        <f t="shared" si="12"/>
        <v>235</v>
      </c>
      <c r="T325" s="4">
        <f t="shared" si="13"/>
        <v>2446.0468085106381</v>
      </c>
    </row>
    <row r="326" spans="1:20" hidden="1" x14ac:dyDescent="0.3">
      <c r="A326">
        <v>353870910000004</v>
      </c>
      <c r="B326" t="s">
        <v>217</v>
      </c>
      <c r="C326" t="s">
        <v>218</v>
      </c>
      <c r="D326">
        <v>1</v>
      </c>
      <c r="E326">
        <v>0</v>
      </c>
      <c r="F326" s="1">
        <v>446188</v>
      </c>
      <c r="G326" s="1">
        <v>446188</v>
      </c>
      <c r="H326" s="1">
        <v>0</v>
      </c>
      <c r="I326" s="3">
        <v>1</v>
      </c>
      <c r="J326" s="3">
        <v>2</v>
      </c>
      <c r="K326" s="3">
        <v>12</v>
      </c>
      <c r="L326" s="3">
        <v>54</v>
      </c>
      <c r="M326" s="3">
        <v>71</v>
      </c>
      <c r="N326" s="3">
        <v>31</v>
      </c>
      <c r="O326" s="3">
        <v>8</v>
      </c>
      <c r="P326" s="3">
        <v>2</v>
      </c>
      <c r="Q326" s="3">
        <v>1</v>
      </c>
      <c r="R326" s="3">
        <v>1</v>
      </c>
      <c r="S326" s="2">
        <f t="shared" si="12"/>
        <v>183</v>
      </c>
      <c r="T326" s="4">
        <f t="shared" si="13"/>
        <v>2438.1857923497269</v>
      </c>
    </row>
    <row r="327" spans="1:20" hidden="1" x14ac:dyDescent="0.3">
      <c r="A327">
        <v>353870905000199</v>
      </c>
      <c r="B327" t="s">
        <v>217</v>
      </c>
      <c r="C327" t="s">
        <v>127</v>
      </c>
      <c r="D327">
        <v>1</v>
      </c>
      <c r="E327">
        <v>0</v>
      </c>
      <c r="F327" s="1">
        <v>493284</v>
      </c>
      <c r="G327" s="1">
        <v>493284</v>
      </c>
      <c r="H327" s="1">
        <v>0</v>
      </c>
      <c r="I327" s="3">
        <v>2</v>
      </c>
      <c r="J327" s="3">
        <v>4</v>
      </c>
      <c r="K327" s="3">
        <v>10</v>
      </c>
      <c r="L327" s="3">
        <v>41</v>
      </c>
      <c r="M327" s="3">
        <v>85</v>
      </c>
      <c r="N327" s="3">
        <v>30</v>
      </c>
      <c r="O327" s="3">
        <v>23</v>
      </c>
      <c r="P327" s="3">
        <v>4</v>
      </c>
      <c r="Q327" s="3">
        <v>0</v>
      </c>
      <c r="R327" s="3">
        <v>4</v>
      </c>
      <c r="S327" s="2">
        <f t="shared" si="12"/>
        <v>203</v>
      </c>
      <c r="T327" s="4">
        <f t="shared" si="13"/>
        <v>2429.9704433497536</v>
      </c>
    </row>
    <row r="328" spans="1:20" hidden="1" x14ac:dyDescent="0.3">
      <c r="A328">
        <v>353870905000242</v>
      </c>
      <c r="B328" t="s">
        <v>217</v>
      </c>
      <c r="C328" t="s">
        <v>31</v>
      </c>
      <c r="D328">
        <v>1</v>
      </c>
      <c r="E328">
        <v>0</v>
      </c>
      <c r="F328" s="1">
        <v>587492</v>
      </c>
      <c r="G328" s="1">
        <v>587492</v>
      </c>
      <c r="H328" s="1">
        <v>0</v>
      </c>
      <c r="I328" s="3">
        <v>3</v>
      </c>
      <c r="J328" s="3">
        <v>1</v>
      </c>
      <c r="K328" s="3">
        <v>4</v>
      </c>
      <c r="L328" s="3">
        <v>35</v>
      </c>
      <c r="M328" s="3">
        <v>72</v>
      </c>
      <c r="N328" s="3">
        <v>35</v>
      </c>
      <c r="O328" s="3">
        <v>44</v>
      </c>
      <c r="P328" s="3">
        <v>14</v>
      </c>
      <c r="Q328" s="3">
        <v>1</v>
      </c>
      <c r="R328" s="3">
        <v>33</v>
      </c>
      <c r="S328" s="2">
        <f t="shared" si="12"/>
        <v>242</v>
      </c>
      <c r="T328" s="4">
        <f t="shared" si="13"/>
        <v>2427.6528925619837</v>
      </c>
    </row>
    <row r="329" spans="1:20" hidden="1" x14ac:dyDescent="0.3">
      <c r="A329">
        <v>353870905000273</v>
      </c>
      <c r="B329" t="s">
        <v>217</v>
      </c>
      <c r="C329" t="s">
        <v>13</v>
      </c>
      <c r="D329">
        <v>1</v>
      </c>
      <c r="E329">
        <v>0</v>
      </c>
      <c r="F329" s="1">
        <v>608606</v>
      </c>
      <c r="G329" s="1">
        <v>608606</v>
      </c>
      <c r="H329" s="1">
        <v>0</v>
      </c>
      <c r="I329" s="3">
        <v>0</v>
      </c>
      <c r="J329" s="3">
        <v>2</v>
      </c>
      <c r="K329" s="3">
        <v>19</v>
      </c>
      <c r="L329" s="3">
        <v>64</v>
      </c>
      <c r="M329" s="3">
        <v>120</v>
      </c>
      <c r="N329" s="3">
        <v>32</v>
      </c>
      <c r="O329" s="3">
        <v>9</v>
      </c>
      <c r="P329" s="3">
        <v>4</v>
      </c>
      <c r="Q329" s="3">
        <v>0</v>
      </c>
      <c r="R329" s="3">
        <v>1</v>
      </c>
      <c r="S329" s="2">
        <f t="shared" si="12"/>
        <v>251</v>
      </c>
      <c r="T329" s="4">
        <f t="shared" si="13"/>
        <v>2424.7250996015937</v>
      </c>
    </row>
    <row r="330" spans="1:20" hidden="1" x14ac:dyDescent="0.3">
      <c r="A330">
        <v>353870905000556</v>
      </c>
      <c r="B330" t="s">
        <v>217</v>
      </c>
      <c r="C330" t="s">
        <v>218</v>
      </c>
      <c r="D330">
        <v>8</v>
      </c>
      <c r="E330">
        <v>0</v>
      </c>
      <c r="F330" s="1">
        <v>208436</v>
      </c>
      <c r="G330" s="1">
        <v>208436</v>
      </c>
      <c r="H330" s="1">
        <v>0</v>
      </c>
      <c r="I330" s="3">
        <v>0</v>
      </c>
      <c r="J330" s="3">
        <v>0</v>
      </c>
      <c r="K330" s="3">
        <v>6</v>
      </c>
      <c r="L330" s="3">
        <v>35</v>
      </c>
      <c r="M330" s="3">
        <v>31</v>
      </c>
      <c r="N330" s="3">
        <v>7</v>
      </c>
      <c r="O330" s="3">
        <v>4</v>
      </c>
      <c r="P330" s="3">
        <v>1</v>
      </c>
      <c r="Q330" s="3">
        <v>1</v>
      </c>
      <c r="R330" s="3">
        <v>1</v>
      </c>
      <c r="S330" s="2">
        <f t="shared" si="12"/>
        <v>86</v>
      </c>
      <c r="T330" s="4">
        <f t="shared" si="13"/>
        <v>2423.6744186046512</v>
      </c>
    </row>
    <row r="331" spans="1:20" hidden="1" x14ac:dyDescent="0.3">
      <c r="A331">
        <v>353870935000021</v>
      </c>
      <c r="B331" t="s">
        <v>217</v>
      </c>
      <c r="C331" t="s">
        <v>155</v>
      </c>
      <c r="D331">
        <v>1</v>
      </c>
      <c r="E331">
        <v>0</v>
      </c>
      <c r="F331" s="1">
        <v>504100</v>
      </c>
      <c r="G331" s="1">
        <v>504100</v>
      </c>
      <c r="H331" s="1">
        <v>0</v>
      </c>
      <c r="I331" s="3">
        <v>0</v>
      </c>
      <c r="J331" s="3">
        <v>0</v>
      </c>
      <c r="K331" s="3">
        <v>6</v>
      </c>
      <c r="L331" s="3">
        <v>39</v>
      </c>
      <c r="M331" s="3">
        <v>119</v>
      </c>
      <c r="N331" s="3">
        <v>37</v>
      </c>
      <c r="O331" s="3">
        <v>6</v>
      </c>
      <c r="P331" s="3">
        <v>0</v>
      </c>
      <c r="Q331" s="3">
        <v>0</v>
      </c>
      <c r="R331" s="3">
        <v>1</v>
      </c>
      <c r="S331" s="2">
        <f t="shared" si="12"/>
        <v>208</v>
      </c>
      <c r="T331" s="4">
        <f t="shared" si="13"/>
        <v>2423.5576923076924</v>
      </c>
    </row>
    <row r="332" spans="1:20" hidden="1" x14ac:dyDescent="0.3">
      <c r="A332">
        <v>353870935000086</v>
      </c>
      <c r="B332" t="s">
        <v>217</v>
      </c>
      <c r="C332" t="s">
        <v>161</v>
      </c>
      <c r="D332">
        <v>1</v>
      </c>
      <c r="E332">
        <v>0</v>
      </c>
      <c r="F332" s="1">
        <v>506419</v>
      </c>
      <c r="G332" s="1">
        <v>506419</v>
      </c>
      <c r="H332" s="1">
        <v>0</v>
      </c>
      <c r="I332" s="3">
        <v>0</v>
      </c>
      <c r="J332" s="3">
        <v>3</v>
      </c>
      <c r="K332" s="3">
        <v>20</v>
      </c>
      <c r="L332" s="3">
        <v>54</v>
      </c>
      <c r="M332" s="3">
        <v>92</v>
      </c>
      <c r="N332" s="3">
        <v>28</v>
      </c>
      <c r="O332" s="3">
        <v>9</v>
      </c>
      <c r="P332" s="3">
        <v>1</v>
      </c>
      <c r="Q332" s="3">
        <v>1</v>
      </c>
      <c r="R332" s="3">
        <v>1</v>
      </c>
      <c r="S332" s="2">
        <f t="shared" si="12"/>
        <v>209</v>
      </c>
      <c r="T332" s="4">
        <f t="shared" si="13"/>
        <v>2423.0574162679427</v>
      </c>
    </row>
    <row r="333" spans="1:20" hidden="1" x14ac:dyDescent="0.3">
      <c r="A333">
        <v>353870905000555</v>
      </c>
      <c r="B333" t="s">
        <v>217</v>
      </c>
      <c r="C333" t="s">
        <v>218</v>
      </c>
      <c r="D333">
        <v>8</v>
      </c>
      <c r="E333">
        <v>0</v>
      </c>
      <c r="F333" s="1">
        <v>387066</v>
      </c>
      <c r="G333" s="1">
        <v>387066</v>
      </c>
      <c r="H333" s="1">
        <v>0</v>
      </c>
      <c r="I333" s="3">
        <v>0</v>
      </c>
      <c r="J333" s="3">
        <v>6</v>
      </c>
      <c r="K333" s="3">
        <v>14</v>
      </c>
      <c r="L333" s="3">
        <v>53</v>
      </c>
      <c r="M333" s="3">
        <v>58</v>
      </c>
      <c r="N333" s="3">
        <v>21</v>
      </c>
      <c r="O333" s="3">
        <v>4</v>
      </c>
      <c r="P333" s="3">
        <v>1</v>
      </c>
      <c r="Q333" s="3">
        <v>1</v>
      </c>
      <c r="R333" s="3">
        <v>2</v>
      </c>
      <c r="S333" s="2">
        <f t="shared" si="12"/>
        <v>160</v>
      </c>
      <c r="T333" s="4">
        <f t="shared" si="13"/>
        <v>2419.1624999999999</v>
      </c>
    </row>
    <row r="334" spans="1:20" hidden="1" x14ac:dyDescent="0.3">
      <c r="A334">
        <v>353870905000282</v>
      </c>
      <c r="B334" t="s">
        <v>217</v>
      </c>
      <c r="C334" t="s">
        <v>140</v>
      </c>
      <c r="D334">
        <v>1</v>
      </c>
      <c r="E334">
        <v>0</v>
      </c>
      <c r="F334" s="1">
        <v>385953</v>
      </c>
      <c r="G334" s="1">
        <v>385953</v>
      </c>
      <c r="H334" s="1">
        <v>0</v>
      </c>
      <c r="I334" s="3">
        <v>0</v>
      </c>
      <c r="J334" s="3">
        <v>0</v>
      </c>
      <c r="K334" s="3">
        <v>14</v>
      </c>
      <c r="L334" s="3">
        <v>34</v>
      </c>
      <c r="M334" s="3">
        <v>72</v>
      </c>
      <c r="N334" s="3">
        <v>28</v>
      </c>
      <c r="O334" s="3">
        <v>5</v>
      </c>
      <c r="P334" s="3">
        <v>2</v>
      </c>
      <c r="Q334" s="3">
        <v>1</v>
      </c>
      <c r="R334" s="3">
        <v>4</v>
      </c>
      <c r="S334" s="2">
        <f t="shared" si="12"/>
        <v>160</v>
      </c>
      <c r="T334" s="4">
        <f t="shared" si="13"/>
        <v>2412.2062500000002</v>
      </c>
    </row>
    <row r="335" spans="1:20" hidden="1" x14ac:dyDescent="0.3">
      <c r="A335">
        <v>353870905000424</v>
      </c>
      <c r="B335" t="s">
        <v>217</v>
      </c>
      <c r="C335" t="s">
        <v>159</v>
      </c>
      <c r="D335">
        <v>2</v>
      </c>
      <c r="E335">
        <v>0</v>
      </c>
      <c r="F335" s="1">
        <v>433179</v>
      </c>
      <c r="G335" s="1">
        <v>433179</v>
      </c>
      <c r="H335" s="1">
        <v>0</v>
      </c>
      <c r="I335" s="3">
        <v>0</v>
      </c>
      <c r="J335" s="3">
        <v>3</v>
      </c>
      <c r="K335" s="3">
        <v>17</v>
      </c>
      <c r="L335" s="3">
        <v>39</v>
      </c>
      <c r="M335" s="3">
        <v>83</v>
      </c>
      <c r="N335" s="3">
        <v>30</v>
      </c>
      <c r="O335" s="3">
        <v>5</v>
      </c>
      <c r="P335" s="3">
        <v>1</v>
      </c>
      <c r="Q335" s="3">
        <v>1</v>
      </c>
      <c r="R335" s="3">
        <v>1</v>
      </c>
      <c r="S335" s="2">
        <f t="shared" si="12"/>
        <v>180</v>
      </c>
      <c r="T335" s="4">
        <f t="shared" si="13"/>
        <v>2406.5500000000002</v>
      </c>
    </row>
    <row r="336" spans="1:20" hidden="1" x14ac:dyDescent="0.3">
      <c r="A336">
        <v>353870935000017</v>
      </c>
      <c r="B336" t="s">
        <v>217</v>
      </c>
      <c r="C336" t="s">
        <v>155</v>
      </c>
      <c r="D336">
        <v>1</v>
      </c>
      <c r="E336">
        <v>0</v>
      </c>
      <c r="F336" s="1">
        <v>345466</v>
      </c>
      <c r="G336" s="1">
        <v>345466</v>
      </c>
      <c r="H336" s="1">
        <v>0</v>
      </c>
      <c r="I336" s="3">
        <v>0</v>
      </c>
      <c r="J336" s="3">
        <v>0</v>
      </c>
      <c r="K336" s="3">
        <v>3</v>
      </c>
      <c r="L336" s="3">
        <v>43</v>
      </c>
      <c r="M336" s="3">
        <v>62</v>
      </c>
      <c r="N336" s="3">
        <v>25</v>
      </c>
      <c r="O336" s="3">
        <v>11</v>
      </c>
      <c r="P336" s="3">
        <v>0</v>
      </c>
      <c r="Q336" s="3">
        <v>0</v>
      </c>
      <c r="R336" s="3">
        <v>0</v>
      </c>
      <c r="S336" s="2">
        <f t="shared" si="12"/>
        <v>144</v>
      </c>
      <c r="T336" s="4">
        <f t="shared" si="13"/>
        <v>2399.0694444444443</v>
      </c>
    </row>
    <row r="337" spans="1:20" hidden="1" x14ac:dyDescent="0.3">
      <c r="A337">
        <v>353870905000359</v>
      </c>
      <c r="B337" t="s">
        <v>217</v>
      </c>
      <c r="C337" t="s">
        <v>176</v>
      </c>
      <c r="D337">
        <v>1</v>
      </c>
      <c r="E337">
        <v>0</v>
      </c>
      <c r="F337" s="1">
        <v>401625</v>
      </c>
      <c r="G337" s="1">
        <v>401625</v>
      </c>
      <c r="H337" s="1">
        <v>0</v>
      </c>
      <c r="I337" s="3">
        <v>0</v>
      </c>
      <c r="J337" s="3">
        <v>1</v>
      </c>
      <c r="K337" s="3">
        <v>13</v>
      </c>
      <c r="L337" s="3">
        <v>59</v>
      </c>
      <c r="M337" s="3">
        <v>64</v>
      </c>
      <c r="N337" s="3">
        <v>19</v>
      </c>
      <c r="O337" s="3">
        <v>10</v>
      </c>
      <c r="P337" s="3">
        <v>0</v>
      </c>
      <c r="Q337" s="3">
        <v>1</v>
      </c>
      <c r="R337" s="3">
        <v>1</v>
      </c>
      <c r="S337" s="2">
        <f t="shared" si="12"/>
        <v>168</v>
      </c>
      <c r="T337" s="4">
        <f t="shared" si="13"/>
        <v>2390.625</v>
      </c>
    </row>
    <row r="338" spans="1:20" hidden="1" x14ac:dyDescent="0.3">
      <c r="A338">
        <v>353870905000299</v>
      </c>
      <c r="B338" t="s">
        <v>217</v>
      </c>
      <c r="C338" t="s">
        <v>19</v>
      </c>
      <c r="D338">
        <v>1</v>
      </c>
      <c r="E338">
        <v>0</v>
      </c>
      <c r="F338" s="1">
        <v>807876</v>
      </c>
      <c r="G338" s="1">
        <v>807876</v>
      </c>
      <c r="H338" s="1">
        <v>0</v>
      </c>
      <c r="I338" s="3">
        <v>0</v>
      </c>
      <c r="J338" s="3">
        <v>3</v>
      </c>
      <c r="K338" s="3">
        <v>28</v>
      </c>
      <c r="L338" s="3">
        <v>103</v>
      </c>
      <c r="M338" s="3">
        <v>133</v>
      </c>
      <c r="N338" s="3">
        <v>43</v>
      </c>
      <c r="O338" s="3">
        <v>19</v>
      </c>
      <c r="P338" s="3">
        <v>4</v>
      </c>
      <c r="Q338" s="3">
        <v>1</v>
      </c>
      <c r="R338" s="3">
        <v>4</v>
      </c>
      <c r="S338" s="2">
        <f t="shared" si="12"/>
        <v>338</v>
      </c>
      <c r="T338" s="4">
        <f t="shared" si="13"/>
        <v>2390.165680473373</v>
      </c>
    </row>
    <row r="339" spans="1:20" hidden="1" x14ac:dyDescent="0.3">
      <c r="A339">
        <v>353870905000572</v>
      </c>
      <c r="B339" t="s">
        <v>217</v>
      </c>
      <c r="C339" t="s">
        <v>119</v>
      </c>
      <c r="D339">
        <v>1</v>
      </c>
      <c r="E339">
        <v>0</v>
      </c>
      <c r="F339" s="1">
        <v>518636</v>
      </c>
      <c r="G339" s="1">
        <v>518636</v>
      </c>
      <c r="H339" s="1">
        <v>0</v>
      </c>
      <c r="I339" s="3">
        <v>0</v>
      </c>
      <c r="J339" s="3">
        <v>1</v>
      </c>
      <c r="K339" s="3">
        <v>8</v>
      </c>
      <c r="L339" s="3">
        <v>67</v>
      </c>
      <c r="M339" s="3">
        <v>86</v>
      </c>
      <c r="N339" s="3">
        <v>31</v>
      </c>
      <c r="O339" s="3">
        <v>9</v>
      </c>
      <c r="P339" s="3">
        <v>5</v>
      </c>
      <c r="Q339" s="3">
        <v>0</v>
      </c>
      <c r="R339" s="3">
        <v>10</v>
      </c>
      <c r="S339" s="2">
        <f t="shared" si="12"/>
        <v>217</v>
      </c>
      <c r="T339" s="4">
        <f t="shared" si="13"/>
        <v>2390.0276497695854</v>
      </c>
    </row>
    <row r="340" spans="1:20" hidden="1" x14ac:dyDescent="0.3">
      <c r="A340">
        <v>353870905000296</v>
      </c>
      <c r="B340" t="s">
        <v>217</v>
      </c>
      <c r="C340" t="s">
        <v>132</v>
      </c>
      <c r="D340">
        <v>1</v>
      </c>
      <c r="E340">
        <v>0</v>
      </c>
      <c r="F340" s="1">
        <v>861962</v>
      </c>
      <c r="G340" s="1">
        <v>861962</v>
      </c>
      <c r="H340" s="1">
        <v>0</v>
      </c>
      <c r="I340" s="3">
        <v>0</v>
      </c>
      <c r="J340" s="3">
        <v>1</v>
      </c>
      <c r="K340" s="3">
        <v>22</v>
      </c>
      <c r="L340" s="3">
        <v>119</v>
      </c>
      <c r="M340" s="3">
        <v>135</v>
      </c>
      <c r="N340" s="3">
        <v>46</v>
      </c>
      <c r="O340" s="3">
        <v>23</v>
      </c>
      <c r="P340" s="3">
        <v>8</v>
      </c>
      <c r="Q340" s="3">
        <v>1</v>
      </c>
      <c r="R340" s="3">
        <v>6</v>
      </c>
      <c r="S340" s="2">
        <f t="shared" si="12"/>
        <v>361</v>
      </c>
      <c r="T340" s="4">
        <f t="shared" si="13"/>
        <v>2387.7063711911355</v>
      </c>
    </row>
    <row r="341" spans="1:20" hidden="1" x14ac:dyDescent="0.3">
      <c r="A341">
        <v>353870905000452</v>
      </c>
      <c r="B341" t="s">
        <v>217</v>
      </c>
      <c r="C341" t="s">
        <v>28</v>
      </c>
      <c r="D341">
        <v>1</v>
      </c>
      <c r="E341">
        <v>0</v>
      </c>
      <c r="F341" s="1">
        <v>178860</v>
      </c>
      <c r="G341" s="1">
        <v>178860</v>
      </c>
      <c r="H341" s="1">
        <v>0</v>
      </c>
      <c r="I341" s="3">
        <v>0</v>
      </c>
      <c r="J341" s="3">
        <v>0</v>
      </c>
      <c r="K341" s="3">
        <v>4</v>
      </c>
      <c r="L341" s="3">
        <v>16</v>
      </c>
      <c r="M341" s="3">
        <v>32</v>
      </c>
      <c r="N341" s="3">
        <v>6</v>
      </c>
      <c r="O341" s="3">
        <v>11</v>
      </c>
      <c r="P341" s="3">
        <v>1</v>
      </c>
      <c r="Q341" s="3">
        <v>2</v>
      </c>
      <c r="R341" s="3">
        <v>3</v>
      </c>
      <c r="S341" s="2">
        <f t="shared" si="12"/>
        <v>75</v>
      </c>
      <c r="T341" s="4">
        <f t="shared" si="13"/>
        <v>2384.8000000000002</v>
      </c>
    </row>
    <row r="342" spans="1:20" hidden="1" x14ac:dyDescent="0.3">
      <c r="A342">
        <v>353870905000312</v>
      </c>
      <c r="B342" t="s">
        <v>217</v>
      </c>
      <c r="C342" t="s">
        <v>114</v>
      </c>
      <c r="D342">
        <v>1</v>
      </c>
      <c r="E342">
        <v>0</v>
      </c>
      <c r="F342" s="1">
        <v>538117</v>
      </c>
      <c r="G342" s="1">
        <v>538117</v>
      </c>
      <c r="H342" s="1">
        <v>0</v>
      </c>
      <c r="I342" s="3">
        <v>0</v>
      </c>
      <c r="J342" s="3">
        <v>2</v>
      </c>
      <c r="K342" s="3">
        <v>16</v>
      </c>
      <c r="L342" s="3">
        <v>53</v>
      </c>
      <c r="M342" s="3">
        <v>87</v>
      </c>
      <c r="N342" s="3">
        <v>45</v>
      </c>
      <c r="O342" s="3">
        <v>19</v>
      </c>
      <c r="P342" s="3">
        <v>2</v>
      </c>
      <c r="Q342" s="3">
        <v>1</v>
      </c>
      <c r="R342" s="3">
        <v>1</v>
      </c>
      <c r="S342" s="2">
        <f t="shared" si="12"/>
        <v>226</v>
      </c>
      <c r="T342" s="4">
        <f t="shared" si="13"/>
        <v>2381.0486725663718</v>
      </c>
    </row>
    <row r="343" spans="1:20" hidden="1" x14ac:dyDescent="0.3">
      <c r="A343">
        <v>353870905000216</v>
      </c>
      <c r="B343" t="s">
        <v>217</v>
      </c>
      <c r="C343" t="s">
        <v>157</v>
      </c>
      <c r="D343">
        <v>1</v>
      </c>
      <c r="E343">
        <v>0</v>
      </c>
      <c r="F343" s="1">
        <v>444927</v>
      </c>
      <c r="G343" s="1">
        <v>444927</v>
      </c>
      <c r="H343" s="1">
        <v>0</v>
      </c>
      <c r="I343" s="3">
        <v>0</v>
      </c>
      <c r="J343" s="3">
        <v>2</v>
      </c>
      <c r="K343" s="3">
        <v>7</v>
      </c>
      <c r="L343" s="3">
        <v>39</v>
      </c>
      <c r="M343" s="3">
        <v>93</v>
      </c>
      <c r="N343" s="3">
        <v>31</v>
      </c>
      <c r="O343" s="3">
        <v>12</v>
      </c>
      <c r="P343" s="3">
        <v>2</v>
      </c>
      <c r="Q343" s="3">
        <v>0</v>
      </c>
      <c r="R343" s="3">
        <v>1</v>
      </c>
      <c r="S343" s="2">
        <f t="shared" si="12"/>
        <v>187</v>
      </c>
      <c r="T343" s="4">
        <f t="shared" si="13"/>
        <v>2379.2887700534761</v>
      </c>
    </row>
    <row r="344" spans="1:20" hidden="1" x14ac:dyDescent="0.3">
      <c r="A344">
        <v>353870905000284</v>
      </c>
      <c r="B344" t="s">
        <v>217</v>
      </c>
      <c r="C344" t="s">
        <v>140</v>
      </c>
      <c r="D344">
        <v>1</v>
      </c>
      <c r="E344">
        <v>0</v>
      </c>
      <c r="F344" s="1">
        <v>444754</v>
      </c>
      <c r="G344" s="1">
        <v>444754</v>
      </c>
      <c r="H344" s="1">
        <v>0</v>
      </c>
      <c r="I344" s="3">
        <v>2</v>
      </c>
      <c r="J344" s="3">
        <v>3</v>
      </c>
      <c r="K344" s="3">
        <v>9</v>
      </c>
      <c r="L344" s="3">
        <v>33</v>
      </c>
      <c r="M344" s="3">
        <v>75</v>
      </c>
      <c r="N344" s="3">
        <v>36</v>
      </c>
      <c r="O344" s="3">
        <v>16</v>
      </c>
      <c r="P344" s="3">
        <v>4</v>
      </c>
      <c r="Q344" s="3">
        <v>0</v>
      </c>
      <c r="R344" s="3">
        <v>9</v>
      </c>
      <c r="S344" s="2">
        <f t="shared" si="12"/>
        <v>187</v>
      </c>
      <c r="T344" s="4">
        <f t="shared" si="13"/>
        <v>2378.3636363636365</v>
      </c>
    </row>
    <row r="345" spans="1:20" hidden="1" x14ac:dyDescent="0.3">
      <c r="A345">
        <v>353870905000289</v>
      </c>
      <c r="B345" t="s">
        <v>217</v>
      </c>
      <c r="C345" t="s">
        <v>60</v>
      </c>
      <c r="D345">
        <v>2</v>
      </c>
      <c r="E345">
        <v>0</v>
      </c>
      <c r="F345" s="1">
        <v>420755</v>
      </c>
      <c r="G345" s="1">
        <v>420755</v>
      </c>
      <c r="H345" s="1">
        <v>0</v>
      </c>
      <c r="I345" s="3">
        <v>1</v>
      </c>
      <c r="J345" s="3">
        <v>2</v>
      </c>
      <c r="K345" s="3">
        <v>13</v>
      </c>
      <c r="L345" s="3">
        <v>53</v>
      </c>
      <c r="M345" s="3">
        <v>61</v>
      </c>
      <c r="N345" s="3">
        <v>22</v>
      </c>
      <c r="O345" s="3">
        <v>14</v>
      </c>
      <c r="P345" s="3">
        <v>4</v>
      </c>
      <c r="Q345" s="3">
        <v>1</v>
      </c>
      <c r="R345" s="3">
        <v>6</v>
      </c>
      <c r="S345" s="2">
        <f t="shared" si="12"/>
        <v>177</v>
      </c>
      <c r="T345" s="4">
        <f t="shared" si="13"/>
        <v>2377.1468926553671</v>
      </c>
    </row>
    <row r="346" spans="1:20" hidden="1" x14ac:dyDescent="0.3">
      <c r="A346">
        <v>353870905000198</v>
      </c>
      <c r="B346" t="s">
        <v>217</v>
      </c>
      <c r="C346" t="s">
        <v>127</v>
      </c>
      <c r="D346">
        <v>1</v>
      </c>
      <c r="E346">
        <v>0</v>
      </c>
      <c r="F346" s="1">
        <v>408835</v>
      </c>
      <c r="G346" s="1">
        <v>408835</v>
      </c>
      <c r="H346" s="1">
        <v>0</v>
      </c>
      <c r="I346" s="3">
        <v>0</v>
      </c>
      <c r="J346" s="3">
        <v>0</v>
      </c>
      <c r="K346" s="3">
        <v>13</v>
      </c>
      <c r="L346" s="3">
        <v>29</v>
      </c>
      <c r="M346" s="3">
        <v>57</v>
      </c>
      <c r="N346" s="3">
        <v>26</v>
      </c>
      <c r="O346" s="3">
        <v>17</v>
      </c>
      <c r="P346" s="3">
        <v>2</v>
      </c>
      <c r="Q346" s="3">
        <v>0</v>
      </c>
      <c r="R346" s="3">
        <v>28</v>
      </c>
      <c r="S346" s="2">
        <f t="shared" si="12"/>
        <v>172</v>
      </c>
      <c r="T346" s="4">
        <f t="shared" si="13"/>
        <v>2376.9476744186045</v>
      </c>
    </row>
    <row r="347" spans="1:20" hidden="1" x14ac:dyDescent="0.3">
      <c r="A347">
        <v>353870905000231</v>
      </c>
      <c r="B347" t="s">
        <v>217</v>
      </c>
      <c r="C347" t="s">
        <v>79</v>
      </c>
      <c r="D347">
        <v>1</v>
      </c>
      <c r="E347">
        <v>0</v>
      </c>
      <c r="F347" s="1">
        <v>551225</v>
      </c>
      <c r="G347" s="1">
        <v>551225</v>
      </c>
      <c r="H347" s="1">
        <v>0</v>
      </c>
      <c r="I347" s="3">
        <v>2</v>
      </c>
      <c r="J347" s="3">
        <v>4</v>
      </c>
      <c r="K347" s="3">
        <v>15</v>
      </c>
      <c r="L347" s="3">
        <v>59</v>
      </c>
      <c r="M347" s="3">
        <v>88</v>
      </c>
      <c r="N347" s="3">
        <v>41</v>
      </c>
      <c r="O347" s="3">
        <v>17</v>
      </c>
      <c r="P347" s="3">
        <v>6</v>
      </c>
      <c r="Q347" s="3">
        <v>0</v>
      </c>
      <c r="R347" s="3">
        <v>0</v>
      </c>
      <c r="S347" s="2">
        <f t="shared" si="12"/>
        <v>232</v>
      </c>
      <c r="T347" s="4">
        <f t="shared" si="13"/>
        <v>2375.969827586207</v>
      </c>
    </row>
    <row r="348" spans="1:20" hidden="1" x14ac:dyDescent="0.3">
      <c r="A348">
        <v>353870935000022</v>
      </c>
      <c r="B348" t="s">
        <v>217</v>
      </c>
      <c r="C348" t="s">
        <v>155</v>
      </c>
      <c r="D348">
        <v>1</v>
      </c>
      <c r="E348">
        <v>0</v>
      </c>
      <c r="F348" s="1">
        <v>365890</v>
      </c>
      <c r="G348" s="1">
        <v>365890</v>
      </c>
      <c r="H348" s="1">
        <v>0</v>
      </c>
      <c r="I348" s="3">
        <v>0</v>
      </c>
      <c r="J348" s="3">
        <v>0</v>
      </c>
      <c r="K348" s="3">
        <v>7</v>
      </c>
      <c r="L348" s="3">
        <v>33</v>
      </c>
      <c r="M348" s="3">
        <v>61</v>
      </c>
      <c r="N348" s="3">
        <v>11</v>
      </c>
      <c r="O348" s="3">
        <v>15</v>
      </c>
      <c r="P348" s="3">
        <v>1</v>
      </c>
      <c r="Q348" s="3">
        <v>1</v>
      </c>
      <c r="R348" s="3">
        <v>25</v>
      </c>
      <c r="S348" s="2">
        <f t="shared" si="12"/>
        <v>154</v>
      </c>
      <c r="T348" s="4">
        <f t="shared" si="13"/>
        <v>2375.909090909091</v>
      </c>
    </row>
    <row r="349" spans="1:20" hidden="1" x14ac:dyDescent="0.3">
      <c r="A349">
        <v>353870905000558</v>
      </c>
      <c r="B349" t="s">
        <v>217</v>
      </c>
      <c r="C349" t="s">
        <v>218</v>
      </c>
      <c r="D349">
        <v>8</v>
      </c>
      <c r="E349">
        <v>0</v>
      </c>
      <c r="F349" s="1">
        <v>479730</v>
      </c>
      <c r="G349" s="1">
        <v>479730</v>
      </c>
      <c r="H349" s="1">
        <v>0</v>
      </c>
      <c r="I349" s="3">
        <v>0</v>
      </c>
      <c r="J349" s="3">
        <v>2</v>
      </c>
      <c r="K349" s="3">
        <v>17</v>
      </c>
      <c r="L349" s="3">
        <v>61</v>
      </c>
      <c r="M349" s="3">
        <v>77</v>
      </c>
      <c r="N349" s="3">
        <v>33</v>
      </c>
      <c r="O349" s="3">
        <v>8</v>
      </c>
      <c r="P349" s="3">
        <v>2</v>
      </c>
      <c r="Q349" s="3">
        <v>0</v>
      </c>
      <c r="R349" s="3">
        <v>2</v>
      </c>
      <c r="S349" s="2">
        <f t="shared" si="12"/>
        <v>202</v>
      </c>
      <c r="T349" s="4">
        <f t="shared" si="13"/>
        <v>2374.90099009901</v>
      </c>
    </row>
    <row r="350" spans="1:20" hidden="1" x14ac:dyDescent="0.3">
      <c r="A350">
        <v>353870905000129</v>
      </c>
      <c r="B350" t="s">
        <v>217</v>
      </c>
      <c r="C350" t="s">
        <v>71</v>
      </c>
      <c r="D350">
        <v>1</v>
      </c>
      <c r="E350">
        <v>0</v>
      </c>
      <c r="F350" s="1">
        <v>357590</v>
      </c>
      <c r="G350" s="1">
        <v>357590</v>
      </c>
      <c r="H350" s="1">
        <v>0</v>
      </c>
      <c r="I350" s="3">
        <v>1</v>
      </c>
      <c r="J350" s="3">
        <v>0</v>
      </c>
      <c r="K350" s="3">
        <v>8</v>
      </c>
      <c r="L350" s="3">
        <v>50</v>
      </c>
      <c r="M350" s="3">
        <v>53</v>
      </c>
      <c r="N350" s="3">
        <v>17</v>
      </c>
      <c r="O350" s="3">
        <v>15</v>
      </c>
      <c r="P350" s="3">
        <v>5</v>
      </c>
      <c r="Q350" s="3">
        <v>0</v>
      </c>
      <c r="R350" s="3">
        <v>2</v>
      </c>
      <c r="S350" s="2">
        <f t="shared" si="12"/>
        <v>151</v>
      </c>
      <c r="T350" s="4">
        <f t="shared" si="13"/>
        <v>2368.1456953642382</v>
      </c>
    </row>
    <row r="351" spans="1:20" hidden="1" x14ac:dyDescent="0.3">
      <c r="A351">
        <v>353870905000083</v>
      </c>
      <c r="B351" t="s">
        <v>217</v>
      </c>
      <c r="C351" t="s">
        <v>51</v>
      </c>
      <c r="D351">
        <v>1</v>
      </c>
      <c r="E351">
        <v>0</v>
      </c>
      <c r="F351" s="1">
        <v>468299</v>
      </c>
      <c r="G351" s="1">
        <v>468299</v>
      </c>
      <c r="H351" s="1">
        <v>0</v>
      </c>
      <c r="I351" s="3">
        <v>0</v>
      </c>
      <c r="J351" s="3">
        <v>4</v>
      </c>
      <c r="K351" s="3">
        <v>12</v>
      </c>
      <c r="L351" s="3">
        <v>50</v>
      </c>
      <c r="M351" s="3">
        <v>62</v>
      </c>
      <c r="N351" s="3">
        <v>37</v>
      </c>
      <c r="O351" s="3">
        <v>19</v>
      </c>
      <c r="P351" s="3">
        <v>11</v>
      </c>
      <c r="Q351" s="3">
        <v>0</v>
      </c>
      <c r="R351" s="3">
        <v>3</v>
      </c>
      <c r="S351" s="2">
        <f t="shared" si="12"/>
        <v>198</v>
      </c>
      <c r="T351" s="4">
        <f t="shared" si="13"/>
        <v>2365.1464646464647</v>
      </c>
    </row>
    <row r="352" spans="1:20" hidden="1" x14ac:dyDescent="0.3">
      <c r="A352">
        <v>353870905000171</v>
      </c>
      <c r="B352" t="s">
        <v>217</v>
      </c>
      <c r="C352" t="s">
        <v>135</v>
      </c>
      <c r="D352">
        <v>1</v>
      </c>
      <c r="E352">
        <v>0</v>
      </c>
      <c r="F352" s="1">
        <v>323635</v>
      </c>
      <c r="G352" s="1">
        <v>323635</v>
      </c>
      <c r="H352" s="1">
        <v>0</v>
      </c>
      <c r="I352" s="3">
        <v>1</v>
      </c>
      <c r="J352" s="3">
        <v>1</v>
      </c>
      <c r="K352" s="3">
        <v>10</v>
      </c>
      <c r="L352" s="3">
        <v>32</v>
      </c>
      <c r="M352" s="3">
        <v>47</v>
      </c>
      <c r="N352" s="3">
        <v>32</v>
      </c>
      <c r="O352" s="3">
        <v>10</v>
      </c>
      <c r="P352" s="3">
        <v>1</v>
      </c>
      <c r="Q352" s="3">
        <v>1</v>
      </c>
      <c r="R352" s="3">
        <v>2</v>
      </c>
      <c r="S352" s="2">
        <f t="shared" si="12"/>
        <v>137</v>
      </c>
      <c r="T352" s="4">
        <f t="shared" si="13"/>
        <v>2362.2992700729928</v>
      </c>
    </row>
    <row r="353" spans="1:20" hidden="1" x14ac:dyDescent="0.3">
      <c r="A353">
        <v>353870905000288</v>
      </c>
      <c r="B353" t="s">
        <v>217</v>
      </c>
      <c r="C353" t="s">
        <v>57</v>
      </c>
      <c r="D353">
        <v>2</v>
      </c>
      <c r="E353">
        <v>0</v>
      </c>
      <c r="F353" s="1">
        <v>82680</v>
      </c>
      <c r="G353" s="1">
        <v>82680</v>
      </c>
      <c r="H353" s="1">
        <v>0</v>
      </c>
      <c r="I353" s="3">
        <v>1</v>
      </c>
      <c r="J353" s="3">
        <v>2</v>
      </c>
      <c r="K353" s="3">
        <v>3</v>
      </c>
      <c r="L353" s="3">
        <v>5</v>
      </c>
      <c r="M353" s="3">
        <v>11</v>
      </c>
      <c r="N353" s="3">
        <v>9</v>
      </c>
      <c r="O353" s="3">
        <v>2</v>
      </c>
      <c r="P353" s="3">
        <v>0</v>
      </c>
      <c r="Q353" s="3">
        <v>0</v>
      </c>
      <c r="R353" s="3">
        <v>2</v>
      </c>
      <c r="S353" s="2">
        <f t="shared" si="12"/>
        <v>35</v>
      </c>
      <c r="T353" s="4">
        <f t="shared" si="13"/>
        <v>2362.2857142857142</v>
      </c>
    </row>
    <row r="354" spans="1:20" hidden="1" x14ac:dyDescent="0.3">
      <c r="A354">
        <v>353870905000156</v>
      </c>
      <c r="B354" t="s">
        <v>217</v>
      </c>
      <c r="C354" t="s">
        <v>116</v>
      </c>
      <c r="D354">
        <v>1</v>
      </c>
      <c r="E354">
        <v>0</v>
      </c>
      <c r="F354" s="1">
        <v>320644</v>
      </c>
      <c r="G354" s="1">
        <v>320644</v>
      </c>
      <c r="H354" s="1">
        <v>0</v>
      </c>
      <c r="I354" s="3">
        <v>0</v>
      </c>
      <c r="J354" s="3">
        <v>4</v>
      </c>
      <c r="K354" s="3">
        <v>11</v>
      </c>
      <c r="L354" s="3">
        <v>36</v>
      </c>
      <c r="M354" s="3">
        <v>51</v>
      </c>
      <c r="N354" s="3">
        <v>17</v>
      </c>
      <c r="O354" s="3">
        <v>14</v>
      </c>
      <c r="P354" s="3">
        <v>1</v>
      </c>
      <c r="Q354" s="3">
        <v>0</v>
      </c>
      <c r="R354" s="3">
        <v>2</v>
      </c>
      <c r="S354" s="2">
        <f t="shared" si="12"/>
        <v>136</v>
      </c>
      <c r="T354" s="4">
        <f t="shared" si="13"/>
        <v>2357.6764705882351</v>
      </c>
    </row>
    <row r="355" spans="1:20" hidden="1" x14ac:dyDescent="0.3">
      <c r="A355">
        <v>353870935000014</v>
      </c>
      <c r="B355" t="s">
        <v>217</v>
      </c>
      <c r="C355" t="s">
        <v>155</v>
      </c>
      <c r="D355">
        <v>1</v>
      </c>
      <c r="E355">
        <v>0</v>
      </c>
      <c r="F355" s="1">
        <v>500784</v>
      </c>
      <c r="G355" s="1">
        <v>500784</v>
      </c>
      <c r="H355" s="1">
        <v>0</v>
      </c>
      <c r="I355" s="3">
        <v>0</v>
      </c>
      <c r="J355" s="3">
        <v>1</v>
      </c>
      <c r="K355" s="3">
        <v>5</v>
      </c>
      <c r="L355" s="3">
        <v>49</v>
      </c>
      <c r="M355" s="3">
        <v>99</v>
      </c>
      <c r="N355" s="3">
        <v>32</v>
      </c>
      <c r="O355" s="3">
        <v>16</v>
      </c>
      <c r="P355" s="3">
        <v>1</v>
      </c>
      <c r="Q355" s="3">
        <v>0</v>
      </c>
      <c r="R355" s="3">
        <v>10</v>
      </c>
      <c r="S355" s="2">
        <f t="shared" si="12"/>
        <v>213</v>
      </c>
      <c r="T355" s="4">
        <f t="shared" si="13"/>
        <v>2351.0985915492956</v>
      </c>
    </row>
    <row r="356" spans="1:20" hidden="1" x14ac:dyDescent="0.3">
      <c r="A356">
        <v>353870905000106</v>
      </c>
      <c r="B356" t="s">
        <v>217</v>
      </c>
      <c r="C356" t="s">
        <v>127</v>
      </c>
      <c r="D356">
        <v>1</v>
      </c>
      <c r="E356">
        <v>0</v>
      </c>
      <c r="F356" s="1">
        <v>581217</v>
      </c>
      <c r="G356" s="1">
        <v>581217</v>
      </c>
      <c r="H356" s="1">
        <v>0</v>
      </c>
      <c r="I356" s="3">
        <v>0</v>
      </c>
      <c r="J356" s="3">
        <v>2</v>
      </c>
      <c r="K356" s="3">
        <v>21</v>
      </c>
      <c r="L356" s="3">
        <v>45</v>
      </c>
      <c r="M356" s="3">
        <v>101</v>
      </c>
      <c r="N356" s="3">
        <v>50</v>
      </c>
      <c r="O356" s="3">
        <v>21</v>
      </c>
      <c r="P356" s="3">
        <v>4</v>
      </c>
      <c r="Q356" s="3">
        <v>0</v>
      </c>
      <c r="R356" s="3">
        <v>4</v>
      </c>
      <c r="S356" s="2">
        <f t="shared" si="12"/>
        <v>248</v>
      </c>
      <c r="T356" s="4">
        <f t="shared" si="13"/>
        <v>2343.6169354838707</v>
      </c>
    </row>
    <row r="357" spans="1:20" hidden="1" x14ac:dyDescent="0.3">
      <c r="A357">
        <v>353870905000322</v>
      </c>
      <c r="B357" t="s">
        <v>217</v>
      </c>
      <c r="C357" t="s">
        <v>108</v>
      </c>
      <c r="D357">
        <v>1</v>
      </c>
      <c r="E357">
        <v>0</v>
      </c>
      <c r="F357" s="1">
        <v>442697</v>
      </c>
      <c r="G357" s="1">
        <v>442697</v>
      </c>
      <c r="H357" s="1">
        <v>0</v>
      </c>
      <c r="I357" s="3">
        <v>0</v>
      </c>
      <c r="J357" s="3">
        <v>2</v>
      </c>
      <c r="K357" s="3">
        <v>22</v>
      </c>
      <c r="L357" s="3">
        <v>40</v>
      </c>
      <c r="M357" s="3">
        <v>51</v>
      </c>
      <c r="N357" s="3">
        <v>28</v>
      </c>
      <c r="O357" s="3">
        <v>18</v>
      </c>
      <c r="P357" s="3">
        <v>6</v>
      </c>
      <c r="Q357" s="3">
        <v>2</v>
      </c>
      <c r="R357" s="3">
        <v>20</v>
      </c>
      <c r="S357" s="2">
        <f t="shared" si="12"/>
        <v>189</v>
      </c>
      <c r="T357" s="4">
        <f t="shared" si="13"/>
        <v>2342.3121693121693</v>
      </c>
    </row>
    <row r="358" spans="1:20" hidden="1" x14ac:dyDescent="0.3">
      <c r="A358">
        <v>353870905000465</v>
      </c>
      <c r="B358" t="s">
        <v>217</v>
      </c>
      <c r="C358" t="s">
        <v>54</v>
      </c>
      <c r="D358">
        <v>1</v>
      </c>
      <c r="E358">
        <v>0</v>
      </c>
      <c r="F358" s="1">
        <v>102972</v>
      </c>
      <c r="G358" s="1">
        <v>102972</v>
      </c>
      <c r="H358" s="1">
        <v>0</v>
      </c>
      <c r="I358" s="3">
        <v>0</v>
      </c>
      <c r="J358" s="3">
        <v>0</v>
      </c>
      <c r="K358" s="3">
        <v>2</v>
      </c>
      <c r="L358" s="3">
        <v>11</v>
      </c>
      <c r="M358" s="3">
        <v>11</v>
      </c>
      <c r="N358" s="3">
        <v>7</v>
      </c>
      <c r="O358" s="3">
        <v>8</v>
      </c>
      <c r="P358" s="3">
        <v>3</v>
      </c>
      <c r="Q358" s="3">
        <v>2</v>
      </c>
      <c r="R358" s="3">
        <v>0</v>
      </c>
      <c r="S358" s="2">
        <f t="shared" si="12"/>
        <v>44</v>
      </c>
      <c r="T358" s="4">
        <f t="shared" si="13"/>
        <v>2340.2727272727275</v>
      </c>
    </row>
    <row r="359" spans="1:20" hidden="1" x14ac:dyDescent="0.3">
      <c r="A359">
        <v>353870905000380</v>
      </c>
      <c r="B359" t="s">
        <v>217</v>
      </c>
      <c r="C359" t="s">
        <v>119</v>
      </c>
      <c r="D359">
        <v>1</v>
      </c>
      <c r="E359">
        <v>0</v>
      </c>
      <c r="F359" s="1">
        <v>580185</v>
      </c>
      <c r="G359" s="1">
        <v>580185</v>
      </c>
      <c r="H359" s="1">
        <v>0</v>
      </c>
      <c r="I359" s="3">
        <v>1</v>
      </c>
      <c r="J359" s="3">
        <v>1</v>
      </c>
      <c r="K359" s="3">
        <v>23</v>
      </c>
      <c r="L359" s="3">
        <v>68</v>
      </c>
      <c r="M359" s="3">
        <v>100</v>
      </c>
      <c r="N359" s="3">
        <v>35</v>
      </c>
      <c r="O359" s="3">
        <v>13</v>
      </c>
      <c r="P359" s="3">
        <v>4</v>
      </c>
      <c r="Q359" s="3">
        <v>1</v>
      </c>
      <c r="R359" s="3">
        <v>2</v>
      </c>
      <c r="S359" s="2">
        <f t="shared" si="12"/>
        <v>248</v>
      </c>
      <c r="T359" s="4">
        <f t="shared" si="13"/>
        <v>2339.4556451612902</v>
      </c>
    </row>
    <row r="360" spans="1:20" hidden="1" x14ac:dyDescent="0.3">
      <c r="A360">
        <v>353870905000553</v>
      </c>
      <c r="B360" t="s">
        <v>217</v>
      </c>
      <c r="C360" t="s">
        <v>218</v>
      </c>
      <c r="D360">
        <v>8</v>
      </c>
      <c r="E360">
        <v>0</v>
      </c>
      <c r="F360" s="1">
        <v>16340</v>
      </c>
      <c r="G360" s="1">
        <v>16340</v>
      </c>
      <c r="H360" s="1">
        <v>0</v>
      </c>
      <c r="I360" s="3">
        <v>0</v>
      </c>
      <c r="J360" s="3">
        <v>0</v>
      </c>
      <c r="K360" s="3">
        <v>1</v>
      </c>
      <c r="L360" s="3">
        <v>4</v>
      </c>
      <c r="M360" s="3">
        <v>2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2">
        <f t="shared" si="12"/>
        <v>7</v>
      </c>
      <c r="T360" s="4">
        <f t="shared" si="13"/>
        <v>2334.2857142857142</v>
      </c>
    </row>
    <row r="361" spans="1:20" hidden="1" x14ac:dyDescent="0.3">
      <c r="A361">
        <v>353870935000045</v>
      </c>
      <c r="B361" t="s">
        <v>217</v>
      </c>
      <c r="C361" t="s">
        <v>170</v>
      </c>
      <c r="D361">
        <v>1</v>
      </c>
      <c r="E361">
        <v>0</v>
      </c>
      <c r="F361" s="1">
        <v>375490</v>
      </c>
      <c r="G361" s="1">
        <v>375490</v>
      </c>
      <c r="H361" s="1">
        <v>0</v>
      </c>
      <c r="I361" s="3">
        <v>0</v>
      </c>
      <c r="J361" s="3">
        <v>3</v>
      </c>
      <c r="K361" s="3">
        <v>19</v>
      </c>
      <c r="L361" s="3">
        <v>51</v>
      </c>
      <c r="M361" s="3">
        <v>56</v>
      </c>
      <c r="N361" s="3">
        <v>25</v>
      </c>
      <c r="O361" s="3">
        <v>3</v>
      </c>
      <c r="P361" s="3">
        <v>3</v>
      </c>
      <c r="Q361" s="3">
        <v>0</v>
      </c>
      <c r="R361" s="3">
        <v>1</v>
      </c>
      <c r="S361" s="2">
        <f t="shared" si="12"/>
        <v>161</v>
      </c>
      <c r="T361" s="4">
        <f t="shared" si="13"/>
        <v>2332.2360248447203</v>
      </c>
    </row>
    <row r="362" spans="1:20" hidden="1" x14ac:dyDescent="0.3">
      <c r="A362">
        <v>353870905000374</v>
      </c>
      <c r="B362" t="s">
        <v>217</v>
      </c>
      <c r="C362" t="s">
        <v>185</v>
      </c>
      <c r="D362">
        <v>1</v>
      </c>
      <c r="E362">
        <v>0</v>
      </c>
      <c r="F362" s="1">
        <v>449579</v>
      </c>
      <c r="G362" s="1">
        <v>449579</v>
      </c>
      <c r="H362" s="1">
        <v>0</v>
      </c>
      <c r="I362" s="3">
        <v>0</v>
      </c>
      <c r="J362" s="3">
        <v>1</v>
      </c>
      <c r="K362" s="3">
        <v>20</v>
      </c>
      <c r="L362" s="3">
        <v>48</v>
      </c>
      <c r="M362" s="3">
        <v>90</v>
      </c>
      <c r="N362" s="3">
        <v>18</v>
      </c>
      <c r="O362" s="3">
        <v>10</v>
      </c>
      <c r="P362" s="3">
        <v>3</v>
      </c>
      <c r="Q362" s="3">
        <v>0</v>
      </c>
      <c r="R362" s="3">
        <v>3</v>
      </c>
      <c r="S362" s="2">
        <f t="shared" si="12"/>
        <v>193</v>
      </c>
      <c r="T362" s="4">
        <f t="shared" si="13"/>
        <v>2329.4248704663214</v>
      </c>
    </row>
    <row r="363" spans="1:20" hidden="1" x14ac:dyDescent="0.3">
      <c r="A363">
        <v>353870905000389</v>
      </c>
      <c r="B363" t="s">
        <v>217</v>
      </c>
      <c r="C363" t="s">
        <v>108</v>
      </c>
      <c r="D363">
        <v>1</v>
      </c>
      <c r="E363">
        <v>0</v>
      </c>
      <c r="F363" s="1">
        <v>479436</v>
      </c>
      <c r="G363" s="1">
        <v>479436</v>
      </c>
      <c r="H363" s="1">
        <v>0</v>
      </c>
      <c r="I363" s="3">
        <v>1</v>
      </c>
      <c r="J363" s="3">
        <v>2</v>
      </c>
      <c r="K363" s="3">
        <v>14</v>
      </c>
      <c r="L363" s="3">
        <v>67</v>
      </c>
      <c r="M363" s="3">
        <v>79</v>
      </c>
      <c r="N363" s="3">
        <v>26</v>
      </c>
      <c r="O363" s="3">
        <v>8</v>
      </c>
      <c r="P363" s="3">
        <v>2</v>
      </c>
      <c r="Q363" s="3">
        <v>2</v>
      </c>
      <c r="R363" s="3">
        <v>5</v>
      </c>
      <c r="S363" s="2">
        <f t="shared" si="12"/>
        <v>206</v>
      </c>
      <c r="T363" s="4">
        <f t="shared" si="13"/>
        <v>2327.3592233009708</v>
      </c>
    </row>
    <row r="364" spans="1:20" hidden="1" x14ac:dyDescent="0.3">
      <c r="A364">
        <v>353870935000023</v>
      </c>
      <c r="B364" t="s">
        <v>217</v>
      </c>
      <c r="C364" t="s">
        <v>155</v>
      </c>
      <c r="D364">
        <v>1</v>
      </c>
      <c r="E364">
        <v>0</v>
      </c>
      <c r="F364" s="1">
        <v>376555</v>
      </c>
      <c r="G364" s="1">
        <v>376555</v>
      </c>
      <c r="H364" s="1">
        <v>0</v>
      </c>
      <c r="I364" s="3">
        <v>0</v>
      </c>
      <c r="J364" s="3">
        <v>1</v>
      </c>
      <c r="K364" s="3">
        <v>6</v>
      </c>
      <c r="L364" s="3">
        <v>48</v>
      </c>
      <c r="M364" s="3">
        <v>70</v>
      </c>
      <c r="N364" s="3">
        <v>23</v>
      </c>
      <c r="O364" s="3">
        <v>7</v>
      </c>
      <c r="P364" s="3">
        <v>2</v>
      </c>
      <c r="Q364" s="3">
        <v>0</v>
      </c>
      <c r="R364" s="3">
        <v>5</v>
      </c>
      <c r="S364" s="2">
        <f t="shared" si="12"/>
        <v>162</v>
      </c>
      <c r="T364" s="4">
        <f t="shared" si="13"/>
        <v>2324.4135802469136</v>
      </c>
    </row>
    <row r="365" spans="1:20" hidden="1" x14ac:dyDescent="0.3">
      <c r="A365">
        <v>353870905000280</v>
      </c>
      <c r="B365" t="s">
        <v>217</v>
      </c>
      <c r="C365" t="s">
        <v>77</v>
      </c>
      <c r="D365">
        <v>1</v>
      </c>
      <c r="E365">
        <v>0</v>
      </c>
      <c r="F365" s="1">
        <v>513058</v>
      </c>
      <c r="G365" s="1">
        <v>513058</v>
      </c>
      <c r="H365" s="1">
        <v>0</v>
      </c>
      <c r="I365" s="3">
        <v>0</v>
      </c>
      <c r="J365" s="3">
        <v>2</v>
      </c>
      <c r="K365" s="3">
        <v>21</v>
      </c>
      <c r="L365" s="3">
        <v>56</v>
      </c>
      <c r="M365" s="3">
        <v>62</v>
      </c>
      <c r="N365" s="3">
        <v>27</v>
      </c>
      <c r="O365" s="3">
        <v>11</v>
      </c>
      <c r="P365" s="3">
        <v>11</v>
      </c>
      <c r="Q365" s="3">
        <v>1</v>
      </c>
      <c r="R365" s="3">
        <v>30</v>
      </c>
      <c r="S365" s="2">
        <f t="shared" si="12"/>
        <v>221</v>
      </c>
      <c r="T365" s="4">
        <f t="shared" si="13"/>
        <v>2321.5294117647059</v>
      </c>
    </row>
    <row r="366" spans="1:20" hidden="1" x14ac:dyDescent="0.3">
      <c r="A366">
        <v>353870905000155</v>
      </c>
      <c r="B366" t="s">
        <v>217</v>
      </c>
      <c r="C366" t="s">
        <v>116</v>
      </c>
      <c r="D366">
        <v>1</v>
      </c>
      <c r="E366">
        <v>0</v>
      </c>
      <c r="F366" s="1">
        <v>347742</v>
      </c>
      <c r="G366" s="1">
        <v>347742</v>
      </c>
      <c r="H366" s="1">
        <v>0</v>
      </c>
      <c r="I366" s="3">
        <v>0</v>
      </c>
      <c r="J366" s="3">
        <v>2</v>
      </c>
      <c r="K366" s="3">
        <v>11</v>
      </c>
      <c r="L366" s="3">
        <v>48</v>
      </c>
      <c r="M366" s="3">
        <v>56</v>
      </c>
      <c r="N366" s="3">
        <v>18</v>
      </c>
      <c r="O366" s="3">
        <v>10</v>
      </c>
      <c r="P366" s="3">
        <v>3</v>
      </c>
      <c r="Q366" s="3">
        <v>0</v>
      </c>
      <c r="R366" s="3">
        <v>2</v>
      </c>
      <c r="S366" s="2">
        <f t="shared" si="12"/>
        <v>150</v>
      </c>
      <c r="T366" s="4">
        <f t="shared" si="13"/>
        <v>2318.2800000000002</v>
      </c>
    </row>
    <row r="367" spans="1:20" hidden="1" x14ac:dyDescent="0.3">
      <c r="A367">
        <v>353870905000429</v>
      </c>
      <c r="B367" t="s">
        <v>217</v>
      </c>
      <c r="C367" t="s">
        <v>159</v>
      </c>
      <c r="D367">
        <v>1</v>
      </c>
      <c r="E367">
        <v>0</v>
      </c>
      <c r="F367" s="1">
        <v>368486</v>
      </c>
      <c r="G367" s="1">
        <v>368486</v>
      </c>
      <c r="H367" s="1">
        <v>0</v>
      </c>
      <c r="I367" s="3">
        <v>3</v>
      </c>
      <c r="J367" s="3">
        <v>2</v>
      </c>
      <c r="K367" s="3">
        <v>8</v>
      </c>
      <c r="L367" s="3">
        <v>45</v>
      </c>
      <c r="M367" s="3">
        <v>63</v>
      </c>
      <c r="N367" s="3">
        <v>22</v>
      </c>
      <c r="O367" s="3">
        <v>7</v>
      </c>
      <c r="P367" s="3">
        <v>2</v>
      </c>
      <c r="Q367" s="3">
        <v>1</v>
      </c>
      <c r="R367" s="3">
        <v>6</v>
      </c>
      <c r="S367" s="2">
        <f t="shared" si="12"/>
        <v>159</v>
      </c>
      <c r="T367" s="4">
        <f t="shared" si="13"/>
        <v>2317.5220125786163</v>
      </c>
    </row>
    <row r="368" spans="1:20" hidden="1" x14ac:dyDescent="0.3">
      <c r="A368">
        <v>353870905000491</v>
      </c>
      <c r="B368" t="s">
        <v>217</v>
      </c>
      <c r="C368" t="s">
        <v>173</v>
      </c>
      <c r="D368">
        <v>1</v>
      </c>
      <c r="E368">
        <v>1</v>
      </c>
      <c r="F368" s="1">
        <v>18530</v>
      </c>
      <c r="G368" s="1">
        <v>17930</v>
      </c>
      <c r="H368" s="1">
        <v>600</v>
      </c>
      <c r="I368" s="3">
        <v>0</v>
      </c>
      <c r="J368" s="3">
        <v>0</v>
      </c>
      <c r="K368" s="3">
        <v>0</v>
      </c>
      <c r="L368" s="3">
        <v>1</v>
      </c>
      <c r="M368" s="3">
        <v>6</v>
      </c>
      <c r="N368" s="3">
        <v>1</v>
      </c>
      <c r="O368" s="3">
        <v>0</v>
      </c>
      <c r="P368" s="3">
        <v>0</v>
      </c>
      <c r="Q368" s="3">
        <v>0</v>
      </c>
      <c r="R368" s="3">
        <v>0</v>
      </c>
      <c r="S368" s="2">
        <f t="shared" si="12"/>
        <v>8</v>
      </c>
      <c r="T368" s="4">
        <f t="shared" si="13"/>
        <v>2316.25</v>
      </c>
    </row>
    <row r="369" spans="1:20" hidden="1" x14ac:dyDescent="0.3">
      <c r="A369">
        <v>353870905000513</v>
      </c>
      <c r="B369" t="s">
        <v>217</v>
      </c>
      <c r="C369" t="s">
        <v>19</v>
      </c>
      <c r="D369">
        <v>1</v>
      </c>
      <c r="E369">
        <v>0</v>
      </c>
      <c r="F369" s="1">
        <v>291743</v>
      </c>
      <c r="G369" s="1">
        <v>291743</v>
      </c>
      <c r="H369" s="1">
        <v>0</v>
      </c>
      <c r="I369" s="3">
        <v>0</v>
      </c>
      <c r="J369" s="3">
        <v>3</v>
      </c>
      <c r="K369" s="3">
        <v>7</v>
      </c>
      <c r="L369" s="3">
        <v>27</v>
      </c>
      <c r="M369" s="3">
        <v>49</v>
      </c>
      <c r="N369" s="3">
        <v>24</v>
      </c>
      <c r="O369" s="3">
        <v>6</v>
      </c>
      <c r="P369" s="3">
        <v>3</v>
      </c>
      <c r="Q369" s="3">
        <v>0</v>
      </c>
      <c r="R369" s="3">
        <v>7</v>
      </c>
      <c r="S369" s="2">
        <f t="shared" si="12"/>
        <v>126</v>
      </c>
      <c r="T369" s="4">
        <f t="shared" si="13"/>
        <v>2315.4206349206347</v>
      </c>
    </row>
    <row r="370" spans="1:20" hidden="1" x14ac:dyDescent="0.3">
      <c r="A370">
        <v>353870905000522</v>
      </c>
      <c r="B370" t="s">
        <v>217</v>
      </c>
      <c r="C370" t="s">
        <v>188</v>
      </c>
      <c r="D370">
        <v>1</v>
      </c>
      <c r="E370">
        <v>0</v>
      </c>
      <c r="F370" s="1">
        <v>113443</v>
      </c>
      <c r="G370" s="1">
        <v>113443</v>
      </c>
      <c r="H370" s="1">
        <v>0</v>
      </c>
      <c r="I370" s="3">
        <v>0</v>
      </c>
      <c r="J370" s="3">
        <v>0</v>
      </c>
      <c r="K370" s="3">
        <v>3</v>
      </c>
      <c r="L370" s="3">
        <v>21</v>
      </c>
      <c r="M370" s="3">
        <v>17</v>
      </c>
      <c r="N370" s="3">
        <v>5</v>
      </c>
      <c r="O370" s="3">
        <v>3</v>
      </c>
      <c r="P370" s="3">
        <v>0</v>
      </c>
      <c r="Q370" s="3">
        <v>0</v>
      </c>
      <c r="R370" s="3">
        <v>0</v>
      </c>
      <c r="S370" s="2">
        <f t="shared" si="12"/>
        <v>49</v>
      </c>
      <c r="T370" s="4">
        <f t="shared" si="13"/>
        <v>2315.1632653061224</v>
      </c>
    </row>
    <row r="371" spans="1:20" hidden="1" x14ac:dyDescent="0.3">
      <c r="A371">
        <v>353870905000426</v>
      </c>
      <c r="B371" t="s">
        <v>217</v>
      </c>
      <c r="C371" t="s">
        <v>159</v>
      </c>
      <c r="D371">
        <v>1</v>
      </c>
      <c r="E371">
        <v>0</v>
      </c>
      <c r="F371" s="1">
        <v>368967</v>
      </c>
      <c r="G371" s="1">
        <v>368967</v>
      </c>
      <c r="H371" s="1">
        <v>0</v>
      </c>
      <c r="I371" s="3">
        <v>0</v>
      </c>
      <c r="J371" s="3">
        <v>1</v>
      </c>
      <c r="K371" s="3">
        <v>11</v>
      </c>
      <c r="L371" s="3">
        <v>44</v>
      </c>
      <c r="M371" s="3">
        <v>65</v>
      </c>
      <c r="N371" s="3">
        <v>17</v>
      </c>
      <c r="O371" s="3">
        <v>19</v>
      </c>
      <c r="P371" s="3">
        <v>0</v>
      </c>
      <c r="Q371" s="3">
        <v>0</v>
      </c>
      <c r="R371" s="3">
        <v>3</v>
      </c>
      <c r="S371" s="2">
        <f t="shared" si="12"/>
        <v>160</v>
      </c>
      <c r="T371" s="4">
        <f t="shared" si="13"/>
        <v>2306.0437499999998</v>
      </c>
    </row>
    <row r="372" spans="1:20" hidden="1" x14ac:dyDescent="0.3">
      <c r="A372">
        <v>353870935000067</v>
      </c>
      <c r="B372" t="s">
        <v>217</v>
      </c>
      <c r="C372" t="s">
        <v>218</v>
      </c>
      <c r="D372">
        <v>3</v>
      </c>
      <c r="E372">
        <v>0</v>
      </c>
      <c r="F372" s="1">
        <v>577727</v>
      </c>
      <c r="G372" s="1">
        <v>577727</v>
      </c>
      <c r="H372" s="1">
        <v>0</v>
      </c>
      <c r="I372" s="3">
        <v>0</v>
      </c>
      <c r="J372" s="3">
        <v>0</v>
      </c>
      <c r="K372" s="3">
        <v>16</v>
      </c>
      <c r="L372" s="3">
        <v>76</v>
      </c>
      <c r="M372" s="3">
        <v>106</v>
      </c>
      <c r="N372" s="3">
        <v>33</v>
      </c>
      <c r="O372" s="3">
        <v>12</v>
      </c>
      <c r="P372" s="3">
        <v>2</v>
      </c>
      <c r="Q372" s="3">
        <v>0</v>
      </c>
      <c r="R372" s="3">
        <v>6</v>
      </c>
      <c r="S372" s="2">
        <f t="shared" si="12"/>
        <v>251</v>
      </c>
      <c r="T372" s="4">
        <f t="shared" si="13"/>
        <v>2301.7011952191233</v>
      </c>
    </row>
    <row r="373" spans="1:20" hidden="1" x14ac:dyDescent="0.3">
      <c r="A373">
        <v>353870905000229</v>
      </c>
      <c r="B373" t="s">
        <v>217</v>
      </c>
      <c r="C373" t="s">
        <v>79</v>
      </c>
      <c r="D373">
        <v>1</v>
      </c>
      <c r="E373">
        <v>0</v>
      </c>
      <c r="F373" s="1">
        <v>494473</v>
      </c>
      <c r="G373" s="1">
        <v>494473</v>
      </c>
      <c r="H373" s="1">
        <v>0</v>
      </c>
      <c r="I373" s="3">
        <v>0</v>
      </c>
      <c r="J373" s="3">
        <v>3</v>
      </c>
      <c r="K373" s="3">
        <v>26</v>
      </c>
      <c r="L373" s="3">
        <v>50</v>
      </c>
      <c r="M373" s="3">
        <v>88</v>
      </c>
      <c r="N373" s="3">
        <v>26</v>
      </c>
      <c r="O373" s="3">
        <v>15</v>
      </c>
      <c r="P373" s="3">
        <v>4</v>
      </c>
      <c r="Q373" s="3">
        <v>0</v>
      </c>
      <c r="R373" s="3">
        <v>4</v>
      </c>
      <c r="S373" s="2">
        <f t="shared" si="12"/>
        <v>216</v>
      </c>
      <c r="T373" s="4">
        <f t="shared" si="13"/>
        <v>2289.2268518518517</v>
      </c>
    </row>
    <row r="374" spans="1:20" hidden="1" x14ac:dyDescent="0.3">
      <c r="A374">
        <v>353870905000051</v>
      </c>
      <c r="B374" t="s">
        <v>217</v>
      </c>
      <c r="C374" t="s">
        <v>45</v>
      </c>
      <c r="D374">
        <v>1</v>
      </c>
      <c r="E374">
        <v>0</v>
      </c>
      <c r="F374" s="1">
        <v>235575</v>
      </c>
      <c r="G374" s="1">
        <v>235575</v>
      </c>
      <c r="H374" s="1">
        <v>0</v>
      </c>
      <c r="I374" s="3">
        <v>0</v>
      </c>
      <c r="J374" s="3">
        <v>0</v>
      </c>
      <c r="K374" s="3">
        <v>1</v>
      </c>
      <c r="L374" s="3">
        <v>22</v>
      </c>
      <c r="M374" s="3">
        <v>36</v>
      </c>
      <c r="N374" s="3">
        <v>26</v>
      </c>
      <c r="O374" s="3">
        <v>11</v>
      </c>
      <c r="P374" s="3">
        <v>5</v>
      </c>
      <c r="Q374" s="3">
        <v>0</v>
      </c>
      <c r="R374" s="3">
        <v>2</v>
      </c>
      <c r="S374" s="2">
        <f t="shared" si="12"/>
        <v>103</v>
      </c>
      <c r="T374" s="4">
        <f t="shared" si="13"/>
        <v>2287.1359223300969</v>
      </c>
    </row>
    <row r="375" spans="1:20" hidden="1" x14ac:dyDescent="0.3">
      <c r="A375">
        <v>353870905000398</v>
      </c>
      <c r="B375" t="s">
        <v>217</v>
      </c>
      <c r="C375" t="s">
        <v>108</v>
      </c>
      <c r="D375">
        <v>1</v>
      </c>
      <c r="E375">
        <v>0</v>
      </c>
      <c r="F375" s="1">
        <v>769349</v>
      </c>
      <c r="G375" s="1">
        <v>769349</v>
      </c>
      <c r="H375" s="1">
        <v>0</v>
      </c>
      <c r="I375" s="3">
        <v>1</v>
      </c>
      <c r="J375" s="3">
        <v>4</v>
      </c>
      <c r="K375" s="3">
        <v>28</v>
      </c>
      <c r="L375" s="3">
        <v>112</v>
      </c>
      <c r="M375" s="3">
        <v>136</v>
      </c>
      <c r="N375" s="3">
        <v>37</v>
      </c>
      <c r="O375" s="3">
        <v>12</v>
      </c>
      <c r="P375" s="3">
        <v>6</v>
      </c>
      <c r="Q375" s="3">
        <v>1</v>
      </c>
      <c r="R375" s="3">
        <v>0</v>
      </c>
      <c r="S375" s="2">
        <f t="shared" si="12"/>
        <v>337</v>
      </c>
      <c r="T375" s="4">
        <f t="shared" si="13"/>
        <v>2282.9347181008902</v>
      </c>
    </row>
    <row r="376" spans="1:20" hidden="1" x14ac:dyDescent="0.3">
      <c r="A376">
        <v>353870905000252</v>
      </c>
      <c r="B376" t="s">
        <v>217</v>
      </c>
      <c r="C376" t="s">
        <v>116</v>
      </c>
      <c r="D376">
        <v>1</v>
      </c>
      <c r="E376">
        <v>0</v>
      </c>
      <c r="F376" s="1">
        <v>408415</v>
      </c>
      <c r="G376" s="1">
        <v>408415</v>
      </c>
      <c r="H376" s="1">
        <v>0</v>
      </c>
      <c r="I376" s="3">
        <v>0</v>
      </c>
      <c r="J376" s="3">
        <v>2</v>
      </c>
      <c r="K376" s="3">
        <v>15</v>
      </c>
      <c r="L376" s="3">
        <v>50</v>
      </c>
      <c r="M376" s="3">
        <v>70</v>
      </c>
      <c r="N376" s="3">
        <v>29</v>
      </c>
      <c r="O376" s="3">
        <v>10</v>
      </c>
      <c r="P376" s="3">
        <v>2</v>
      </c>
      <c r="Q376" s="3">
        <v>0</v>
      </c>
      <c r="R376" s="3">
        <v>1</v>
      </c>
      <c r="S376" s="2">
        <f t="shared" si="12"/>
        <v>179</v>
      </c>
      <c r="T376" s="4">
        <f t="shared" si="13"/>
        <v>2281.6480446927376</v>
      </c>
    </row>
    <row r="377" spans="1:20" hidden="1" x14ac:dyDescent="0.3">
      <c r="A377">
        <v>353870905000138</v>
      </c>
      <c r="B377" t="s">
        <v>217</v>
      </c>
      <c r="C377" t="s">
        <v>54</v>
      </c>
      <c r="D377">
        <v>1</v>
      </c>
      <c r="E377">
        <v>0</v>
      </c>
      <c r="F377" s="1">
        <v>435695</v>
      </c>
      <c r="G377" s="1">
        <v>435695</v>
      </c>
      <c r="H377" s="1">
        <v>0</v>
      </c>
      <c r="I377" s="3">
        <v>1</v>
      </c>
      <c r="J377" s="3">
        <v>1</v>
      </c>
      <c r="K377" s="3">
        <v>7</v>
      </c>
      <c r="L377" s="3">
        <v>38</v>
      </c>
      <c r="M377" s="3">
        <v>58</v>
      </c>
      <c r="N377" s="3">
        <v>25</v>
      </c>
      <c r="O377" s="3">
        <v>19</v>
      </c>
      <c r="P377" s="3">
        <v>8</v>
      </c>
      <c r="Q377" s="3">
        <v>1</v>
      </c>
      <c r="R377" s="3">
        <v>33</v>
      </c>
      <c r="S377" s="2">
        <f t="shared" si="12"/>
        <v>191</v>
      </c>
      <c r="T377" s="4">
        <f t="shared" si="13"/>
        <v>2281.1256544502617</v>
      </c>
    </row>
    <row r="378" spans="1:20" hidden="1" x14ac:dyDescent="0.3">
      <c r="A378">
        <v>353870905000179</v>
      </c>
      <c r="B378" t="s">
        <v>217</v>
      </c>
      <c r="C378" t="s">
        <v>145</v>
      </c>
      <c r="D378">
        <v>1</v>
      </c>
      <c r="E378">
        <v>0</v>
      </c>
      <c r="F378" s="1">
        <v>366475</v>
      </c>
      <c r="G378" s="1">
        <v>366475</v>
      </c>
      <c r="H378" s="1">
        <v>0</v>
      </c>
      <c r="I378" s="3">
        <v>0</v>
      </c>
      <c r="J378" s="3">
        <v>2</v>
      </c>
      <c r="K378" s="3">
        <v>11</v>
      </c>
      <c r="L378" s="3">
        <v>41</v>
      </c>
      <c r="M378" s="3">
        <v>66</v>
      </c>
      <c r="N378" s="3">
        <v>28</v>
      </c>
      <c r="O378" s="3">
        <v>10</v>
      </c>
      <c r="P378" s="3">
        <v>2</v>
      </c>
      <c r="Q378" s="3">
        <v>0</v>
      </c>
      <c r="R378" s="3">
        <v>1</v>
      </c>
      <c r="S378" s="2">
        <f t="shared" si="12"/>
        <v>161</v>
      </c>
      <c r="T378" s="4">
        <f t="shared" si="13"/>
        <v>2276.2422360248447</v>
      </c>
    </row>
    <row r="379" spans="1:20" hidden="1" x14ac:dyDescent="0.3">
      <c r="A379">
        <v>353870905000135</v>
      </c>
      <c r="B379" t="s">
        <v>217</v>
      </c>
      <c r="C379" t="s">
        <v>71</v>
      </c>
      <c r="D379">
        <v>1</v>
      </c>
      <c r="E379">
        <v>0</v>
      </c>
      <c r="F379" s="1">
        <v>355054</v>
      </c>
      <c r="G379" s="1">
        <v>355054</v>
      </c>
      <c r="H379" s="1">
        <v>0</v>
      </c>
      <c r="I379" s="3">
        <v>0</v>
      </c>
      <c r="J379" s="3">
        <v>3</v>
      </c>
      <c r="K379" s="3">
        <v>9</v>
      </c>
      <c r="L379" s="3">
        <v>46</v>
      </c>
      <c r="M379" s="3">
        <v>56</v>
      </c>
      <c r="N379" s="3">
        <v>25</v>
      </c>
      <c r="O379" s="3">
        <v>13</v>
      </c>
      <c r="P379" s="3">
        <v>2</v>
      </c>
      <c r="Q379" s="3">
        <v>0</v>
      </c>
      <c r="R379" s="3">
        <v>2</v>
      </c>
      <c r="S379" s="2">
        <f t="shared" si="12"/>
        <v>156</v>
      </c>
      <c r="T379" s="4">
        <f t="shared" si="13"/>
        <v>2275.9871794871797</v>
      </c>
    </row>
    <row r="380" spans="1:20" hidden="1" x14ac:dyDescent="0.3">
      <c r="A380">
        <v>353870905000333</v>
      </c>
      <c r="B380" t="s">
        <v>217</v>
      </c>
      <c r="C380" t="s">
        <v>188</v>
      </c>
      <c r="D380">
        <v>1</v>
      </c>
      <c r="E380">
        <v>0</v>
      </c>
      <c r="F380" s="1">
        <v>361596</v>
      </c>
      <c r="G380" s="1">
        <v>361596</v>
      </c>
      <c r="H380" s="1">
        <v>0</v>
      </c>
      <c r="I380" s="3">
        <v>2</v>
      </c>
      <c r="J380" s="3">
        <v>2</v>
      </c>
      <c r="K380" s="3">
        <v>14</v>
      </c>
      <c r="L380" s="3">
        <v>45</v>
      </c>
      <c r="M380" s="3">
        <v>68</v>
      </c>
      <c r="N380" s="3">
        <v>18</v>
      </c>
      <c r="O380" s="3">
        <v>6</v>
      </c>
      <c r="P380" s="3">
        <v>1</v>
      </c>
      <c r="Q380" s="3">
        <v>0</v>
      </c>
      <c r="R380" s="3">
        <v>3</v>
      </c>
      <c r="S380" s="2">
        <f t="shared" si="12"/>
        <v>159</v>
      </c>
      <c r="T380" s="4">
        <f t="shared" si="13"/>
        <v>2274.1886792452829</v>
      </c>
    </row>
    <row r="381" spans="1:20" hidden="1" x14ac:dyDescent="0.3">
      <c r="A381">
        <v>353870905000270</v>
      </c>
      <c r="B381" t="s">
        <v>217</v>
      </c>
      <c r="C381" t="s">
        <v>145</v>
      </c>
      <c r="D381">
        <v>1</v>
      </c>
      <c r="E381">
        <v>0</v>
      </c>
      <c r="F381" s="1">
        <v>336486</v>
      </c>
      <c r="G381" s="1">
        <v>336486</v>
      </c>
      <c r="H381" s="1">
        <v>0</v>
      </c>
      <c r="I381" s="3">
        <v>0</v>
      </c>
      <c r="J381" s="3">
        <v>1</v>
      </c>
      <c r="K381" s="3">
        <v>9</v>
      </c>
      <c r="L381" s="3">
        <v>41</v>
      </c>
      <c r="M381" s="3">
        <v>64</v>
      </c>
      <c r="N381" s="3">
        <v>22</v>
      </c>
      <c r="O381" s="3">
        <v>8</v>
      </c>
      <c r="P381" s="3">
        <v>0</v>
      </c>
      <c r="Q381" s="3">
        <v>1</v>
      </c>
      <c r="R381" s="3">
        <v>2</v>
      </c>
      <c r="S381" s="2">
        <f t="shared" si="12"/>
        <v>148</v>
      </c>
      <c r="T381" s="4">
        <f t="shared" si="13"/>
        <v>2273.5540540540542</v>
      </c>
    </row>
    <row r="382" spans="1:20" hidden="1" x14ac:dyDescent="0.3">
      <c r="A382">
        <v>353870935000063</v>
      </c>
      <c r="B382" t="s">
        <v>217</v>
      </c>
      <c r="C382" t="s">
        <v>147</v>
      </c>
      <c r="D382">
        <v>1</v>
      </c>
      <c r="E382">
        <v>0</v>
      </c>
      <c r="F382" s="1">
        <v>427393</v>
      </c>
      <c r="G382" s="1">
        <v>427393</v>
      </c>
      <c r="H382" s="1">
        <v>0</v>
      </c>
      <c r="I382" s="3">
        <v>1</v>
      </c>
      <c r="J382" s="3">
        <v>3</v>
      </c>
      <c r="K382" s="3">
        <v>14</v>
      </c>
      <c r="L382" s="3">
        <v>60</v>
      </c>
      <c r="M382" s="3">
        <v>71</v>
      </c>
      <c r="N382" s="3">
        <v>26</v>
      </c>
      <c r="O382" s="3">
        <v>8</v>
      </c>
      <c r="P382" s="3">
        <v>4</v>
      </c>
      <c r="Q382" s="3">
        <v>0</v>
      </c>
      <c r="R382" s="3">
        <v>1</v>
      </c>
      <c r="S382" s="2">
        <f t="shared" si="12"/>
        <v>188</v>
      </c>
      <c r="T382" s="4">
        <f t="shared" si="13"/>
        <v>2273.3670212765956</v>
      </c>
    </row>
    <row r="383" spans="1:20" hidden="1" x14ac:dyDescent="0.3">
      <c r="A383">
        <v>353870905000445</v>
      </c>
      <c r="B383" t="s">
        <v>217</v>
      </c>
      <c r="C383" t="s">
        <v>28</v>
      </c>
      <c r="D383">
        <v>1</v>
      </c>
      <c r="E383">
        <v>0</v>
      </c>
      <c r="F383" s="1">
        <v>61376</v>
      </c>
      <c r="G383" s="1">
        <v>61376</v>
      </c>
      <c r="H383" s="1">
        <v>0</v>
      </c>
      <c r="I383" s="3">
        <v>0</v>
      </c>
      <c r="J383" s="3">
        <v>0</v>
      </c>
      <c r="K383" s="3">
        <v>2</v>
      </c>
      <c r="L383" s="3">
        <v>5</v>
      </c>
      <c r="M383" s="3">
        <v>11</v>
      </c>
      <c r="N383" s="3">
        <v>5</v>
      </c>
      <c r="O383" s="3">
        <v>1</v>
      </c>
      <c r="P383" s="3">
        <v>0</v>
      </c>
      <c r="Q383" s="3">
        <v>1</v>
      </c>
      <c r="R383" s="3">
        <v>2</v>
      </c>
      <c r="S383" s="2">
        <f t="shared" si="12"/>
        <v>27</v>
      </c>
      <c r="T383" s="4">
        <f t="shared" si="13"/>
        <v>2273.1851851851852</v>
      </c>
    </row>
    <row r="384" spans="1:20" hidden="1" x14ac:dyDescent="0.3">
      <c r="A384">
        <v>353870905000587</v>
      </c>
      <c r="B384" t="s">
        <v>217</v>
      </c>
      <c r="C384" t="s">
        <v>218</v>
      </c>
      <c r="D384">
        <v>1</v>
      </c>
      <c r="E384">
        <v>0</v>
      </c>
      <c r="F384" s="1">
        <v>1302157</v>
      </c>
      <c r="G384" s="1">
        <v>1302157</v>
      </c>
      <c r="H384" s="1">
        <v>0</v>
      </c>
      <c r="I384" s="3">
        <v>2</v>
      </c>
      <c r="J384" s="3">
        <v>17</v>
      </c>
      <c r="K384" s="3">
        <v>62</v>
      </c>
      <c r="L384" s="3">
        <v>177</v>
      </c>
      <c r="M384" s="3">
        <v>182</v>
      </c>
      <c r="N384" s="3">
        <v>73</v>
      </c>
      <c r="O384" s="3">
        <v>29</v>
      </c>
      <c r="P384" s="3">
        <v>16</v>
      </c>
      <c r="Q384" s="3">
        <v>4</v>
      </c>
      <c r="R384" s="3">
        <v>11</v>
      </c>
      <c r="S384" s="2">
        <f t="shared" si="12"/>
        <v>573</v>
      </c>
      <c r="T384" s="4">
        <f t="shared" si="13"/>
        <v>2272.5253054101222</v>
      </c>
    </row>
    <row r="385" spans="1:20" hidden="1" x14ac:dyDescent="0.3">
      <c r="A385">
        <v>353870935000024</v>
      </c>
      <c r="B385" t="s">
        <v>217</v>
      </c>
      <c r="C385" t="s">
        <v>155</v>
      </c>
      <c r="D385">
        <v>2</v>
      </c>
      <c r="E385">
        <v>0</v>
      </c>
      <c r="F385" s="1">
        <v>421918</v>
      </c>
      <c r="G385" s="1">
        <v>421918</v>
      </c>
      <c r="H385" s="1">
        <v>0</v>
      </c>
      <c r="I385" s="3">
        <v>1</v>
      </c>
      <c r="J385" s="3">
        <v>1</v>
      </c>
      <c r="K385" s="3">
        <v>12</v>
      </c>
      <c r="L385" s="3">
        <v>69</v>
      </c>
      <c r="M385" s="3">
        <v>66</v>
      </c>
      <c r="N385" s="3">
        <v>23</v>
      </c>
      <c r="O385" s="3">
        <v>11</v>
      </c>
      <c r="P385" s="3">
        <v>1</v>
      </c>
      <c r="Q385" s="3">
        <v>1</v>
      </c>
      <c r="R385" s="3">
        <v>1</v>
      </c>
      <c r="S385" s="2">
        <f t="shared" si="12"/>
        <v>186</v>
      </c>
      <c r="T385" s="4">
        <f t="shared" si="13"/>
        <v>2268.3763440860216</v>
      </c>
    </row>
    <row r="386" spans="1:20" hidden="1" x14ac:dyDescent="0.3">
      <c r="A386">
        <v>353870905000449</v>
      </c>
      <c r="B386" t="s">
        <v>217</v>
      </c>
      <c r="C386" t="s">
        <v>28</v>
      </c>
      <c r="D386">
        <v>1</v>
      </c>
      <c r="E386">
        <v>0</v>
      </c>
      <c r="F386" s="1">
        <v>24940</v>
      </c>
      <c r="G386" s="1">
        <v>24940</v>
      </c>
      <c r="H386" s="1">
        <v>0</v>
      </c>
      <c r="I386" s="3">
        <v>0</v>
      </c>
      <c r="J386" s="3">
        <v>0</v>
      </c>
      <c r="K386" s="3">
        <v>2</v>
      </c>
      <c r="L386" s="3">
        <v>1</v>
      </c>
      <c r="M386" s="3">
        <v>3</v>
      </c>
      <c r="N386" s="3">
        <v>3</v>
      </c>
      <c r="O386" s="3">
        <v>1</v>
      </c>
      <c r="P386" s="3">
        <v>1</v>
      </c>
      <c r="Q386" s="3">
        <v>0</v>
      </c>
      <c r="R386" s="3">
        <v>0</v>
      </c>
      <c r="S386" s="2">
        <f t="shared" si="12"/>
        <v>11</v>
      </c>
      <c r="T386" s="4">
        <f t="shared" si="13"/>
        <v>2267.2727272727275</v>
      </c>
    </row>
    <row r="387" spans="1:20" hidden="1" x14ac:dyDescent="0.3">
      <c r="A387">
        <v>353870930000002</v>
      </c>
      <c r="B387" t="s">
        <v>217</v>
      </c>
      <c r="C387" t="s">
        <v>218</v>
      </c>
      <c r="D387">
        <v>8</v>
      </c>
      <c r="E387">
        <v>0</v>
      </c>
      <c r="F387" s="1">
        <v>92717</v>
      </c>
      <c r="G387" s="1">
        <v>92717</v>
      </c>
      <c r="H387" s="1">
        <v>0</v>
      </c>
      <c r="I387" s="3">
        <v>0</v>
      </c>
      <c r="J387" s="3">
        <v>2</v>
      </c>
      <c r="K387" s="3">
        <v>6</v>
      </c>
      <c r="L387" s="3">
        <v>13</v>
      </c>
      <c r="M387" s="3">
        <v>14</v>
      </c>
      <c r="N387" s="3">
        <v>3</v>
      </c>
      <c r="O387" s="3">
        <v>2</v>
      </c>
      <c r="P387" s="3">
        <v>0</v>
      </c>
      <c r="Q387" s="3">
        <v>0</v>
      </c>
      <c r="R387" s="3">
        <v>1</v>
      </c>
      <c r="S387" s="2">
        <f t="shared" ref="S387:S450" si="14">SUM(I387:R387)</f>
        <v>41</v>
      </c>
      <c r="T387" s="4">
        <f t="shared" ref="T387:T450" si="15">F387/S387</f>
        <v>2261.3902439024391</v>
      </c>
    </row>
    <row r="388" spans="1:20" hidden="1" x14ac:dyDescent="0.3">
      <c r="A388">
        <v>353870935000077</v>
      </c>
      <c r="B388" t="s">
        <v>217</v>
      </c>
      <c r="C388" t="s">
        <v>170</v>
      </c>
      <c r="D388">
        <v>1</v>
      </c>
      <c r="E388">
        <v>0</v>
      </c>
      <c r="F388" s="1">
        <v>377464</v>
      </c>
      <c r="G388" s="1">
        <v>377464</v>
      </c>
      <c r="H388" s="1">
        <v>0</v>
      </c>
      <c r="I388" s="3">
        <v>0</v>
      </c>
      <c r="J388" s="3">
        <v>2</v>
      </c>
      <c r="K388" s="3">
        <v>11</v>
      </c>
      <c r="L388" s="3">
        <v>55</v>
      </c>
      <c r="M388" s="3">
        <v>78</v>
      </c>
      <c r="N388" s="3">
        <v>13</v>
      </c>
      <c r="O388" s="3">
        <v>3</v>
      </c>
      <c r="P388" s="3">
        <v>1</v>
      </c>
      <c r="Q388" s="3">
        <v>0</v>
      </c>
      <c r="R388" s="3">
        <v>4</v>
      </c>
      <c r="S388" s="2">
        <f t="shared" si="14"/>
        <v>167</v>
      </c>
      <c r="T388" s="4">
        <f t="shared" si="15"/>
        <v>2260.2634730538921</v>
      </c>
    </row>
    <row r="389" spans="1:20" hidden="1" x14ac:dyDescent="0.3">
      <c r="A389">
        <v>353870905000163</v>
      </c>
      <c r="B389" t="s">
        <v>217</v>
      </c>
      <c r="C389" t="s">
        <v>116</v>
      </c>
      <c r="D389">
        <v>1</v>
      </c>
      <c r="E389">
        <v>0</v>
      </c>
      <c r="F389" s="1">
        <v>260107</v>
      </c>
      <c r="G389" s="1">
        <v>260107</v>
      </c>
      <c r="H389" s="1">
        <v>0</v>
      </c>
      <c r="I389" s="3">
        <v>0</v>
      </c>
      <c r="J389" s="3">
        <v>1</v>
      </c>
      <c r="K389" s="3">
        <v>11</v>
      </c>
      <c r="L389" s="3">
        <v>34</v>
      </c>
      <c r="M389" s="3">
        <v>44</v>
      </c>
      <c r="N389" s="3">
        <v>15</v>
      </c>
      <c r="O389" s="3">
        <v>4</v>
      </c>
      <c r="P389" s="3">
        <v>6</v>
      </c>
      <c r="Q389" s="3">
        <v>1</v>
      </c>
      <c r="R389" s="3">
        <v>0</v>
      </c>
      <c r="S389" s="2">
        <f t="shared" si="14"/>
        <v>116</v>
      </c>
      <c r="T389" s="4">
        <f t="shared" si="15"/>
        <v>2242.3017241379312</v>
      </c>
    </row>
    <row r="390" spans="1:20" hidden="1" x14ac:dyDescent="0.3">
      <c r="A390">
        <v>353870905000193</v>
      </c>
      <c r="B390" t="s">
        <v>217</v>
      </c>
      <c r="C390" t="s">
        <v>82</v>
      </c>
      <c r="D390">
        <v>1</v>
      </c>
      <c r="E390">
        <v>0</v>
      </c>
      <c r="F390" s="1">
        <v>94145</v>
      </c>
      <c r="G390" s="1">
        <v>94145</v>
      </c>
      <c r="H390" s="1">
        <v>0</v>
      </c>
      <c r="I390" s="3">
        <v>0</v>
      </c>
      <c r="J390" s="3">
        <v>0</v>
      </c>
      <c r="K390" s="3">
        <v>3</v>
      </c>
      <c r="L390" s="3">
        <v>6</v>
      </c>
      <c r="M390" s="3">
        <v>19</v>
      </c>
      <c r="N390" s="3">
        <v>9</v>
      </c>
      <c r="O390" s="3">
        <v>3</v>
      </c>
      <c r="P390" s="3">
        <v>1</v>
      </c>
      <c r="Q390" s="3">
        <v>0</v>
      </c>
      <c r="R390" s="3">
        <v>1</v>
      </c>
      <c r="S390" s="2">
        <f t="shared" si="14"/>
        <v>42</v>
      </c>
      <c r="T390" s="4">
        <f t="shared" si="15"/>
        <v>2241.5476190476193</v>
      </c>
    </row>
    <row r="391" spans="1:20" hidden="1" x14ac:dyDescent="0.3">
      <c r="A391">
        <v>353870905000257</v>
      </c>
      <c r="B391" t="s">
        <v>217</v>
      </c>
      <c r="C391" t="s">
        <v>116</v>
      </c>
      <c r="D391">
        <v>1</v>
      </c>
      <c r="E391">
        <v>0</v>
      </c>
      <c r="F391" s="1">
        <v>360868</v>
      </c>
      <c r="G391" s="1">
        <v>360868</v>
      </c>
      <c r="H391" s="1">
        <v>0</v>
      </c>
      <c r="I391" s="3">
        <v>0</v>
      </c>
      <c r="J391" s="3">
        <v>1</v>
      </c>
      <c r="K391" s="3">
        <v>11</v>
      </c>
      <c r="L391" s="3">
        <v>45</v>
      </c>
      <c r="M391" s="3">
        <v>68</v>
      </c>
      <c r="N391" s="3">
        <v>26</v>
      </c>
      <c r="O391" s="3">
        <v>7</v>
      </c>
      <c r="P391" s="3">
        <v>1</v>
      </c>
      <c r="Q391" s="3">
        <v>0</v>
      </c>
      <c r="R391" s="3">
        <v>2</v>
      </c>
      <c r="S391" s="2">
        <f t="shared" si="14"/>
        <v>161</v>
      </c>
      <c r="T391" s="4">
        <f t="shared" si="15"/>
        <v>2241.4161490683232</v>
      </c>
    </row>
    <row r="392" spans="1:20" hidden="1" x14ac:dyDescent="0.3">
      <c r="A392">
        <v>353870935000013</v>
      </c>
      <c r="B392" t="s">
        <v>217</v>
      </c>
      <c r="C392" t="s">
        <v>155</v>
      </c>
      <c r="D392">
        <v>1</v>
      </c>
      <c r="E392">
        <v>0</v>
      </c>
      <c r="F392" s="1">
        <v>502044</v>
      </c>
      <c r="G392" s="1">
        <v>502044</v>
      </c>
      <c r="H392" s="1">
        <v>0</v>
      </c>
      <c r="I392" s="3">
        <v>0</v>
      </c>
      <c r="J392" s="3">
        <v>3</v>
      </c>
      <c r="K392" s="3">
        <v>13</v>
      </c>
      <c r="L392" s="3">
        <v>47</v>
      </c>
      <c r="M392" s="3">
        <v>101</v>
      </c>
      <c r="N392" s="3">
        <v>36</v>
      </c>
      <c r="O392" s="3">
        <v>16</v>
      </c>
      <c r="P392" s="3">
        <v>1</v>
      </c>
      <c r="Q392" s="3">
        <v>0</v>
      </c>
      <c r="R392" s="3">
        <v>7</v>
      </c>
      <c r="S392" s="2">
        <f t="shared" si="14"/>
        <v>224</v>
      </c>
      <c r="T392" s="4">
        <f t="shared" si="15"/>
        <v>2241.2678571428573</v>
      </c>
    </row>
    <row r="393" spans="1:20" hidden="1" x14ac:dyDescent="0.3">
      <c r="A393">
        <v>353870905000254</v>
      </c>
      <c r="B393" t="s">
        <v>217</v>
      </c>
      <c r="C393" t="s">
        <v>173</v>
      </c>
      <c r="D393">
        <v>1</v>
      </c>
      <c r="E393">
        <v>0</v>
      </c>
      <c r="F393" s="1">
        <v>626116</v>
      </c>
      <c r="G393" s="1">
        <v>626116</v>
      </c>
      <c r="H393" s="1">
        <v>0</v>
      </c>
      <c r="I393" s="3">
        <v>1</v>
      </c>
      <c r="J393" s="3">
        <v>5</v>
      </c>
      <c r="K393" s="3">
        <v>18</v>
      </c>
      <c r="L393" s="3">
        <v>72</v>
      </c>
      <c r="M393" s="3">
        <v>121</v>
      </c>
      <c r="N393" s="3">
        <v>42</v>
      </c>
      <c r="O393" s="3">
        <v>16</v>
      </c>
      <c r="P393" s="3">
        <v>3</v>
      </c>
      <c r="Q393" s="3">
        <v>0</v>
      </c>
      <c r="R393" s="3">
        <v>2</v>
      </c>
      <c r="S393" s="2">
        <f t="shared" si="14"/>
        <v>280</v>
      </c>
      <c r="T393" s="4">
        <f t="shared" si="15"/>
        <v>2236.1285714285714</v>
      </c>
    </row>
    <row r="394" spans="1:20" hidden="1" x14ac:dyDescent="0.3">
      <c r="A394">
        <v>353870905000232</v>
      </c>
      <c r="B394" t="s">
        <v>217</v>
      </c>
      <c r="C394" t="s">
        <v>79</v>
      </c>
      <c r="D394">
        <v>1</v>
      </c>
      <c r="E394">
        <v>0</v>
      </c>
      <c r="F394" s="1">
        <v>347741</v>
      </c>
      <c r="G394" s="1">
        <v>347741</v>
      </c>
      <c r="H394" s="1">
        <v>0</v>
      </c>
      <c r="I394" s="3">
        <v>1</v>
      </c>
      <c r="J394" s="3">
        <v>2</v>
      </c>
      <c r="K394" s="3">
        <v>13</v>
      </c>
      <c r="L394" s="3">
        <v>38</v>
      </c>
      <c r="M394" s="3">
        <v>60</v>
      </c>
      <c r="N394" s="3">
        <v>26</v>
      </c>
      <c r="O394" s="3">
        <v>11</v>
      </c>
      <c r="P394" s="3">
        <v>2</v>
      </c>
      <c r="Q394" s="3">
        <v>1</v>
      </c>
      <c r="R394" s="3">
        <v>2</v>
      </c>
      <c r="S394" s="2">
        <f t="shared" si="14"/>
        <v>156</v>
      </c>
      <c r="T394" s="4">
        <f t="shared" si="15"/>
        <v>2229.1089743589741</v>
      </c>
    </row>
    <row r="395" spans="1:20" hidden="1" x14ac:dyDescent="0.3">
      <c r="A395">
        <v>353870910000001</v>
      </c>
      <c r="B395" t="s">
        <v>217</v>
      </c>
      <c r="C395" t="s">
        <v>218</v>
      </c>
      <c r="D395">
        <v>1</v>
      </c>
      <c r="E395">
        <v>0</v>
      </c>
      <c r="F395" s="1">
        <v>499168</v>
      </c>
      <c r="G395" s="1">
        <v>499168</v>
      </c>
      <c r="H395" s="1">
        <v>0</v>
      </c>
      <c r="I395" s="3">
        <v>1</v>
      </c>
      <c r="J395" s="3">
        <v>4</v>
      </c>
      <c r="K395" s="3">
        <v>18</v>
      </c>
      <c r="L395" s="3">
        <v>70</v>
      </c>
      <c r="M395" s="3">
        <v>77</v>
      </c>
      <c r="N395" s="3">
        <v>24</v>
      </c>
      <c r="O395" s="3">
        <v>17</v>
      </c>
      <c r="P395" s="3">
        <v>1</v>
      </c>
      <c r="Q395" s="3">
        <v>0</v>
      </c>
      <c r="R395" s="3">
        <v>12</v>
      </c>
      <c r="S395" s="2">
        <f t="shared" si="14"/>
        <v>224</v>
      </c>
      <c r="T395" s="4">
        <f t="shared" si="15"/>
        <v>2228.4285714285716</v>
      </c>
    </row>
    <row r="396" spans="1:20" hidden="1" x14ac:dyDescent="0.3">
      <c r="A396">
        <v>353870905000157</v>
      </c>
      <c r="B396" t="s">
        <v>217</v>
      </c>
      <c r="C396" t="s">
        <v>116</v>
      </c>
      <c r="D396">
        <v>1</v>
      </c>
      <c r="E396">
        <v>1</v>
      </c>
      <c r="F396" s="1">
        <v>431579</v>
      </c>
      <c r="G396" s="1">
        <v>430579</v>
      </c>
      <c r="H396" s="1">
        <v>1000</v>
      </c>
      <c r="I396" s="3">
        <v>0</v>
      </c>
      <c r="J396" s="3">
        <v>2</v>
      </c>
      <c r="K396" s="3">
        <v>16</v>
      </c>
      <c r="L396" s="3">
        <v>62</v>
      </c>
      <c r="M396" s="3">
        <v>72</v>
      </c>
      <c r="N396" s="3">
        <v>29</v>
      </c>
      <c r="O396" s="3">
        <v>9</v>
      </c>
      <c r="P396" s="3">
        <v>2</v>
      </c>
      <c r="Q396" s="3">
        <v>0</v>
      </c>
      <c r="R396" s="3">
        <v>2</v>
      </c>
      <c r="S396" s="2">
        <f t="shared" si="14"/>
        <v>194</v>
      </c>
      <c r="T396" s="4">
        <f t="shared" si="15"/>
        <v>2224.6340206185569</v>
      </c>
    </row>
    <row r="397" spans="1:20" hidden="1" x14ac:dyDescent="0.3">
      <c r="A397">
        <v>353870905000379</v>
      </c>
      <c r="B397" t="s">
        <v>217</v>
      </c>
      <c r="C397" t="s">
        <v>119</v>
      </c>
      <c r="D397">
        <v>1</v>
      </c>
      <c r="E397">
        <v>0</v>
      </c>
      <c r="F397" s="1">
        <v>475357</v>
      </c>
      <c r="G397" s="1">
        <v>475357</v>
      </c>
      <c r="H397" s="1">
        <v>0</v>
      </c>
      <c r="I397" s="3">
        <v>0</v>
      </c>
      <c r="J397" s="3">
        <v>3</v>
      </c>
      <c r="K397" s="3">
        <v>32</v>
      </c>
      <c r="L397" s="3">
        <v>65</v>
      </c>
      <c r="M397" s="3">
        <v>86</v>
      </c>
      <c r="N397" s="3">
        <v>18</v>
      </c>
      <c r="O397" s="3">
        <v>4</v>
      </c>
      <c r="P397" s="3">
        <v>2</v>
      </c>
      <c r="Q397" s="3">
        <v>2</v>
      </c>
      <c r="R397" s="3">
        <v>3</v>
      </c>
      <c r="S397" s="2">
        <f t="shared" si="14"/>
        <v>215</v>
      </c>
      <c r="T397" s="4">
        <f t="shared" si="15"/>
        <v>2210.9627906976743</v>
      </c>
    </row>
    <row r="398" spans="1:20" hidden="1" x14ac:dyDescent="0.3">
      <c r="A398">
        <v>353870935000005</v>
      </c>
      <c r="B398" t="s">
        <v>217</v>
      </c>
      <c r="C398" t="s">
        <v>170</v>
      </c>
      <c r="D398">
        <v>1</v>
      </c>
      <c r="E398">
        <v>0</v>
      </c>
      <c r="F398" s="1">
        <v>432898</v>
      </c>
      <c r="G398" s="1">
        <v>432898</v>
      </c>
      <c r="H398" s="1">
        <v>0</v>
      </c>
      <c r="I398" s="3">
        <v>0</v>
      </c>
      <c r="J398" s="3">
        <v>1</v>
      </c>
      <c r="K398" s="3">
        <v>7</v>
      </c>
      <c r="L398" s="3">
        <v>59</v>
      </c>
      <c r="M398" s="3">
        <v>106</v>
      </c>
      <c r="N398" s="3">
        <v>15</v>
      </c>
      <c r="O398" s="3">
        <v>3</v>
      </c>
      <c r="P398" s="3">
        <v>2</v>
      </c>
      <c r="Q398" s="3">
        <v>0</v>
      </c>
      <c r="R398" s="3">
        <v>3</v>
      </c>
      <c r="S398" s="2">
        <f t="shared" si="14"/>
        <v>196</v>
      </c>
      <c r="T398" s="4">
        <f t="shared" si="15"/>
        <v>2208.6632653061224</v>
      </c>
    </row>
    <row r="399" spans="1:20" hidden="1" x14ac:dyDescent="0.3">
      <c r="A399">
        <v>353870905000418</v>
      </c>
      <c r="B399" t="s">
        <v>217</v>
      </c>
      <c r="C399" t="s">
        <v>88</v>
      </c>
      <c r="D399">
        <v>1</v>
      </c>
      <c r="E399">
        <v>0</v>
      </c>
      <c r="F399" s="1">
        <v>750787</v>
      </c>
      <c r="G399" s="1">
        <v>750787</v>
      </c>
      <c r="H399" s="1">
        <v>0</v>
      </c>
      <c r="I399" s="3">
        <v>4</v>
      </c>
      <c r="J399" s="3">
        <v>4</v>
      </c>
      <c r="K399" s="3">
        <v>47</v>
      </c>
      <c r="L399" s="3">
        <v>115</v>
      </c>
      <c r="M399" s="3">
        <v>107</v>
      </c>
      <c r="N399" s="3">
        <v>19</v>
      </c>
      <c r="O399" s="3">
        <v>10</v>
      </c>
      <c r="P399" s="3">
        <v>7</v>
      </c>
      <c r="Q399" s="3">
        <v>5</v>
      </c>
      <c r="R399" s="3">
        <v>22</v>
      </c>
      <c r="S399" s="2">
        <f t="shared" si="14"/>
        <v>340</v>
      </c>
      <c r="T399" s="4">
        <f t="shared" si="15"/>
        <v>2208.1970588235295</v>
      </c>
    </row>
    <row r="400" spans="1:20" hidden="1" x14ac:dyDescent="0.3">
      <c r="A400">
        <v>353870925000006</v>
      </c>
      <c r="B400" t="s">
        <v>217</v>
      </c>
      <c r="C400" t="s">
        <v>218</v>
      </c>
      <c r="D400">
        <v>8</v>
      </c>
      <c r="E400">
        <v>0</v>
      </c>
      <c r="F400" s="1">
        <v>178797</v>
      </c>
      <c r="G400" s="1">
        <v>178797</v>
      </c>
      <c r="H400" s="1">
        <v>0</v>
      </c>
      <c r="I400" s="3">
        <v>0</v>
      </c>
      <c r="J400" s="3">
        <v>1</v>
      </c>
      <c r="K400" s="3">
        <v>6</v>
      </c>
      <c r="L400" s="3">
        <v>21</v>
      </c>
      <c r="M400" s="3">
        <v>38</v>
      </c>
      <c r="N400" s="3">
        <v>10</v>
      </c>
      <c r="O400" s="3">
        <v>3</v>
      </c>
      <c r="P400" s="3">
        <v>1</v>
      </c>
      <c r="Q400" s="3">
        <v>0</v>
      </c>
      <c r="R400" s="3">
        <v>1</v>
      </c>
      <c r="S400" s="2">
        <f t="shared" si="14"/>
        <v>81</v>
      </c>
      <c r="T400" s="4">
        <f t="shared" si="15"/>
        <v>2207.3703703703704</v>
      </c>
    </row>
    <row r="401" spans="1:20" hidden="1" x14ac:dyDescent="0.3">
      <c r="A401">
        <v>353870905000103</v>
      </c>
      <c r="B401" t="s">
        <v>217</v>
      </c>
      <c r="C401" t="s">
        <v>220</v>
      </c>
      <c r="D401">
        <v>1</v>
      </c>
      <c r="E401">
        <v>0</v>
      </c>
      <c r="F401" s="1">
        <v>339605</v>
      </c>
      <c r="G401" s="1">
        <v>339605</v>
      </c>
      <c r="H401" s="1">
        <v>0</v>
      </c>
      <c r="I401" s="3">
        <v>0</v>
      </c>
      <c r="J401" s="3">
        <v>2</v>
      </c>
      <c r="K401" s="3">
        <v>9</v>
      </c>
      <c r="L401" s="3">
        <v>20</v>
      </c>
      <c r="M401" s="3">
        <v>45</v>
      </c>
      <c r="N401" s="3">
        <v>24</v>
      </c>
      <c r="O401" s="3">
        <v>11</v>
      </c>
      <c r="P401" s="3">
        <v>3</v>
      </c>
      <c r="Q401" s="3">
        <v>2</v>
      </c>
      <c r="R401" s="3">
        <v>38</v>
      </c>
      <c r="S401" s="2">
        <f t="shared" si="14"/>
        <v>154</v>
      </c>
      <c r="T401" s="4">
        <f t="shared" si="15"/>
        <v>2205.2272727272725</v>
      </c>
    </row>
    <row r="402" spans="1:20" hidden="1" x14ac:dyDescent="0.3">
      <c r="A402">
        <v>353870935000079</v>
      </c>
      <c r="B402" t="s">
        <v>217</v>
      </c>
      <c r="C402" t="s">
        <v>218</v>
      </c>
      <c r="D402">
        <v>8</v>
      </c>
      <c r="E402">
        <v>0</v>
      </c>
      <c r="F402" s="1">
        <v>96933</v>
      </c>
      <c r="G402" s="1">
        <v>96933</v>
      </c>
      <c r="H402" s="1">
        <v>0</v>
      </c>
      <c r="I402" s="3">
        <v>0</v>
      </c>
      <c r="J402" s="3">
        <v>1</v>
      </c>
      <c r="K402" s="3">
        <v>3</v>
      </c>
      <c r="L402" s="3">
        <v>14</v>
      </c>
      <c r="M402" s="3">
        <v>18</v>
      </c>
      <c r="N402" s="3">
        <v>6</v>
      </c>
      <c r="O402" s="3">
        <v>1</v>
      </c>
      <c r="P402" s="3">
        <v>0</v>
      </c>
      <c r="Q402" s="3">
        <v>1</v>
      </c>
      <c r="R402" s="3">
        <v>0</v>
      </c>
      <c r="S402" s="2">
        <f t="shared" si="14"/>
        <v>44</v>
      </c>
      <c r="T402" s="4">
        <f t="shared" si="15"/>
        <v>2203.0227272727275</v>
      </c>
    </row>
    <row r="403" spans="1:20" hidden="1" x14ac:dyDescent="0.3">
      <c r="A403">
        <v>353870910000006</v>
      </c>
      <c r="B403" t="s">
        <v>217</v>
      </c>
      <c r="C403" t="s">
        <v>218</v>
      </c>
      <c r="D403">
        <v>1</v>
      </c>
      <c r="E403">
        <v>0</v>
      </c>
      <c r="F403" s="1">
        <v>365171</v>
      </c>
      <c r="G403" s="1">
        <v>365171</v>
      </c>
      <c r="H403" s="1">
        <v>0</v>
      </c>
      <c r="I403" s="3">
        <v>0</v>
      </c>
      <c r="J403" s="3">
        <v>3</v>
      </c>
      <c r="K403" s="3">
        <v>21</v>
      </c>
      <c r="L403" s="3">
        <v>48</v>
      </c>
      <c r="M403" s="3">
        <v>62</v>
      </c>
      <c r="N403" s="3">
        <v>15</v>
      </c>
      <c r="O403" s="3">
        <v>11</v>
      </c>
      <c r="P403" s="3">
        <v>1</v>
      </c>
      <c r="Q403" s="3">
        <v>1</v>
      </c>
      <c r="R403" s="3">
        <v>4</v>
      </c>
      <c r="S403" s="2">
        <f t="shared" si="14"/>
        <v>166</v>
      </c>
      <c r="T403" s="4">
        <f t="shared" si="15"/>
        <v>2199.8253012048194</v>
      </c>
    </row>
    <row r="404" spans="1:20" hidden="1" x14ac:dyDescent="0.3">
      <c r="A404">
        <v>353870905000382</v>
      </c>
      <c r="B404" t="s">
        <v>217</v>
      </c>
      <c r="C404" t="s">
        <v>119</v>
      </c>
      <c r="D404">
        <v>1</v>
      </c>
      <c r="E404">
        <v>0</v>
      </c>
      <c r="F404" s="1">
        <v>430545</v>
      </c>
      <c r="G404" s="1">
        <v>430545</v>
      </c>
      <c r="H404" s="1">
        <v>0</v>
      </c>
      <c r="I404" s="3">
        <v>0</v>
      </c>
      <c r="J404" s="3">
        <v>3</v>
      </c>
      <c r="K404" s="3">
        <v>12</v>
      </c>
      <c r="L404" s="3">
        <v>71</v>
      </c>
      <c r="M404" s="3">
        <v>77</v>
      </c>
      <c r="N404" s="3">
        <v>23</v>
      </c>
      <c r="O404" s="3">
        <v>4</v>
      </c>
      <c r="P404" s="3">
        <v>2</v>
      </c>
      <c r="Q404" s="3">
        <v>0</v>
      </c>
      <c r="R404" s="3">
        <v>4</v>
      </c>
      <c r="S404" s="2">
        <f t="shared" si="14"/>
        <v>196</v>
      </c>
      <c r="T404" s="4">
        <f t="shared" si="15"/>
        <v>2196.658163265306</v>
      </c>
    </row>
    <row r="405" spans="1:20" hidden="1" x14ac:dyDescent="0.3">
      <c r="A405">
        <v>353870905000164</v>
      </c>
      <c r="B405" t="s">
        <v>217</v>
      </c>
      <c r="C405" t="s">
        <v>116</v>
      </c>
      <c r="D405">
        <v>1</v>
      </c>
      <c r="E405">
        <v>0</v>
      </c>
      <c r="F405" s="1">
        <v>522679</v>
      </c>
      <c r="G405" s="1">
        <v>522679</v>
      </c>
      <c r="H405" s="1">
        <v>0</v>
      </c>
      <c r="I405" s="3">
        <v>0</v>
      </c>
      <c r="J405" s="3">
        <v>4</v>
      </c>
      <c r="K405" s="3">
        <v>11</v>
      </c>
      <c r="L405" s="3">
        <v>62</v>
      </c>
      <c r="M405" s="3">
        <v>98</v>
      </c>
      <c r="N405" s="3">
        <v>37</v>
      </c>
      <c r="O405" s="3">
        <v>22</v>
      </c>
      <c r="P405" s="3">
        <v>4</v>
      </c>
      <c r="Q405" s="3">
        <v>0</v>
      </c>
      <c r="R405" s="3">
        <v>0</v>
      </c>
      <c r="S405" s="2">
        <f t="shared" si="14"/>
        <v>238</v>
      </c>
      <c r="T405" s="4">
        <f t="shared" si="15"/>
        <v>2196.1302521008402</v>
      </c>
    </row>
    <row r="406" spans="1:20" hidden="1" x14ac:dyDescent="0.3">
      <c r="A406">
        <v>353870905000221</v>
      </c>
      <c r="B406" t="s">
        <v>217</v>
      </c>
      <c r="C406" t="s">
        <v>129</v>
      </c>
      <c r="D406">
        <v>1</v>
      </c>
      <c r="E406">
        <v>0</v>
      </c>
      <c r="F406" s="1">
        <v>491843</v>
      </c>
      <c r="G406" s="1">
        <v>491843</v>
      </c>
      <c r="H406" s="1">
        <v>0</v>
      </c>
      <c r="I406" s="3">
        <v>3</v>
      </c>
      <c r="J406" s="3">
        <v>6</v>
      </c>
      <c r="K406" s="3">
        <v>16</v>
      </c>
      <c r="L406" s="3">
        <v>72</v>
      </c>
      <c r="M406" s="3">
        <v>92</v>
      </c>
      <c r="N406" s="3">
        <v>20</v>
      </c>
      <c r="O406" s="3">
        <v>11</v>
      </c>
      <c r="P406" s="3">
        <v>1</v>
      </c>
      <c r="Q406" s="3">
        <v>1</v>
      </c>
      <c r="R406" s="3">
        <v>2</v>
      </c>
      <c r="S406" s="2">
        <f t="shared" si="14"/>
        <v>224</v>
      </c>
      <c r="T406" s="4">
        <f t="shared" si="15"/>
        <v>2195.7276785714284</v>
      </c>
    </row>
    <row r="407" spans="1:20" hidden="1" x14ac:dyDescent="0.3">
      <c r="A407">
        <v>353870905000274</v>
      </c>
      <c r="B407" t="s">
        <v>217</v>
      </c>
      <c r="C407" t="s">
        <v>13</v>
      </c>
      <c r="D407">
        <v>2</v>
      </c>
      <c r="E407">
        <v>0</v>
      </c>
      <c r="F407" s="1">
        <v>21951</v>
      </c>
      <c r="G407" s="1">
        <v>21951</v>
      </c>
      <c r="H407" s="1">
        <v>0</v>
      </c>
      <c r="I407" s="3">
        <v>0</v>
      </c>
      <c r="J407" s="3">
        <v>0</v>
      </c>
      <c r="K407" s="3">
        <v>1</v>
      </c>
      <c r="L407" s="3">
        <v>4</v>
      </c>
      <c r="M407" s="3">
        <v>3</v>
      </c>
      <c r="N407" s="3">
        <v>0</v>
      </c>
      <c r="O407" s="3">
        <v>2</v>
      </c>
      <c r="P407" s="3">
        <v>0</v>
      </c>
      <c r="Q407" s="3">
        <v>0</v>
      </c>
      <c r="R407" s="3">
        <v>0</v>
      </c>
      <c r="S407" s="2">
        <f t="shared" si="14"/>
        <v>10</v>
      </c>
      <c r="T407" s="4">
        <f t="shared" si="15"/>
        <v>2195.1</v>
      </c>
    </row>
    <row r="408" spans="1:20" hidden="1" x14ac:dyDescent="0.3">
      <c r="A408">
        <v>353870935000081</v>
      </c>
      <c r="B408" t="s">
        <v>217</v>
      </c>
      <c r="C408" t="s">
        <v>218</v>
      </c>
      <c r="D408">
        <v>8</v>
      </c>
      <c r="E408">
        <v>0</v>
      </c>
      <c r="F408" s="1">
        <v>129035</v>
      </c>
      <c r="G408" s="1">
        <v>129035</v>
      </c>
      <c r="H408" s="1">
        <v>0</v>
      </c>
      <c r="I408" s="3">
        <v>0</v>
      </c>
      <c r="J408" s="3">
        <v>2</v>
      </c>
      <c r="K408" s="3">
        <v>9</v>
      </c>
      <c r="L408" s="3">
        <v>16</v>
      </c>
      <c r="M408" s="3">
        <v>14</v>
      </c>
      <c r="N408" s="3">
        <v>5</v>
      </c>
      <c r="O408" s="3">
        <v>4</v>
      </c>
      <c r="P408" s="3">
        <v>1</v>
      </c>
      <c r="Q408" s="3">
        <v>0</v>
      </c>
      <c r="R408" s="3">
        <v>8</v>
      </c>
      <c r="S408" s="2">
        <f t="shared" si="14"/>
        <v>59</v>
      </c>
      <c r="T408" s="4">
        <f t="shared" si="15"/>
        <v>2187.0338983050847</v>
      </c>
    </row>
    <row r="409" spans="1:20" hidden="1" x14ac:dyDescent="0.3">
      <c r="A409">
        <v>353870935000089</v>
      </c>
      <c r="B409" t="s">
        <v>217</v>
      </c>
      <c r="C409" t="s">
        <v>170</v>
      </c>
      <c r="D409">
        <v>1</v>
      </c>
      <c r="E409">
        <v>0</v>
      </c>
      <c r="F409" s="1">
        <v>284060</v>
      </c>
      <c r="G409" s="1">
        <v>284060</v>
      </c>
      <c r="H409" s="1">
        <v>0</v>
      </c>
      <c r="I409" s="3">
        <v>0</v>
      </c>
      <c r="J409" s="3">
        <v>2</v>
      </c>
      <c r="K409" s="3">
        <v>4</v>
      </c>
      <c r="L409" s="3">
        <v>46</v>
      </c>
      <c r="M409" s="3">
        <v>51</v>
      </c>
      <c r="N409" s="3">
        <v>14</v>
      </c>
      <c r="O409" s="3">
        <v>10</v>
      </c>
      <c r="P409" s="3">
        <v>2</v>
      </c>
      <c r="Q409" s="3">
        <v>0</v>
      </c>
      <c r="R409" s="3">
        <v>1</v>
      </c>
      <c r="S409" s="2">
        <f t="shared" si="14"/>
        <v>130</v>
      </c>
      <c r="T409" s="4">
        <f t="shared" si="15"/>
        <v>2185.0769230769229</v>
      </c>
    </row>
    <row r="410" spans="1:20" hidden="1" x14ac:dyDescent="0.3">
      <c r="A410">
        <v>353870905000202</v>
      </c>
      <c r="B410" t="s">
        <v>217</v>
      </c>
      <c r="C410" t="s">
        <v>127</v>
      </c>
      <c r="D410">
        <v>1</v>
      </c>
      <c r="E410">
        <v>1</v>
      </c>
      <c r="F410" s="1">
        <v>382142</v>
      </c>
      <c r="G410" s="1">
        <v>381142</v>
      </c>
      <c r="H410" s="1">
        <v>1000</v>
      </c>
      <c r="I410" s="3">
        <v>0</v>
      </c>
      <c r="J410" s="3">
        <v>4</v>
      </c>
      <c r="K410" s="3">
        <v>9</v>
      </c>
      <c r="L410" s="3">
        <v>48</v>
      </c>
      <c r="M410" s="3">
        <v>75</v>
      </c>
      <c r="N410" s="3">
        <v>23</v>
      </c>
      <c r="O410" s="3">
        <v>11</v>
      </c>
      <c r="P410" s="3">
        <v>2</v>
      </c>
      <c r="Q410" s="3">
        <v>0</v>
      </c>
      <c r="R410" s="3">
        <v>3</v>
      </c>
      <c r="S410" s="2">
        <f t="shared" si="14"/>
        <v>175</v>
      </c>
      <c r="T410" s="4">
        <f t="shared" si="15"/>
        <v>2183.6685714285713</v>
      </c>
    </row>
    <row r="411" spans="1:20" hidden="1" x14ac:dyDescent="0.3">
      <c r="A411">
        <v>353870935000002</v>
      </c>
      <c r="B411" t="s">
        <v>217</v>
      </c>
      <c r="C411" t="s">
        <v>170</v>
      </c>
      <c r="D411">
        <v>1</v>
      </c>
      <c r="E411">
        <v>0</v>
      </c>
      <c r="F411" s="1">
        <v>179044</v>
      </c>
      <c r="G411" s="1">
        <v>179044</v>
      </c>
      <c r="H411" s="1">
        <v>0</v>
      </c>
      <c r="I411" s="3">
        <v>1</v>
      </c>
      <c r="J411" s="3">
        <v>2</v>
      </c>
      <c r="K411" s="3">
        <v>6</v>
      </c>
      <c r="L411" s="3">
        <v>23</v>
      </c>
      <c r="M411" s="3">
        <v>35</v>
      </c>
      <c r="N411" s="3">
        <v>7</v>
      </c>
      <c r="O411" s="3">
        <v>3</v>
      </c>
      <c r="P411" s="3">
        <v>1</v>
      </c>
      <c r="Q411" s="3">
        <v>0</v>
      </c>
      <c r="R411" s="3">
        <v>4</v>
      </c>
      <c r="S411" s="2">
        <f t="shared" si="14"/>
        <v>82</v>
      </c>
      <c r="T411" s="4">
        <f t="shared" si="15"/>
        <v>2183.4634146341464</v>
      </c>
    </row>
    <row r="412" spans="1:20" hidden="1" x14ac:dyDescent="0.3">
      <c r="A412">
        <v>353870905000175</v>
      </c>
      <c r="B412" t="s">
        <v>217</v>
      </c>
      <c r="C412" t="s">
        <v>135</v>
      </c>
      <c r="D412">
        <v>1</v>
      </c>
      <c r="E412">
        <v>0</v>
      </c>
      <c r="F412" s="1">
        <v>497592</v>
      </c>
      <c r="G412" s="1">
        <v>497592</v>
      </c>
      <c r="H412" s="1">
        <v>0</v>
      </c>
      <c r="I412" s="3">
        <v>1</v>
      </c>
      <c r="J412" s="3">
        <v>2</v>
      </c>
      <c r="K412" s="3">
        <v>12</v>
      </c>
      <c r="L412" s="3">
        <v>58</v>
      </c>
      <c r="M412" s="3">
        <v>112</v>
      </c>
      <c r="N412" s="3">
        <v>23</v>
      </c>
      <c r="O412" s="3">
        <v>17</v>
      </c>
      <c r="P412" s="3">
        <v>3</v>
      </c>
      <c r="Q412" s="3">
        <v>0</v>
      </c>
      <c r="R412" s="3">
        <v>0</v>
      </c>
      <c r="S412" s="2">
        <f t="shared" si="14"/>
        <v>228</v>
      </c>
      <c r="T412" s="4">
        <f t="shared" si="15"/>
        <v>2182.4210526315787</v>
      </c>
    </row>
    <row r="413" spans="1:20" hidden="1" x14ac:dyDescent="0.3">
      <c r="A413">
        <v>353870935000085</v>
      </c>
      <c r="B413" t="s">
        <v>217</v>
      </c>
      <c r="C413" t="s">
        <v>138</v>
      </c>
      <c r="D413">
        <v>1</v>
      </c>
      <c r="E413">
        <v>0</v>
      </c>
      <c r="F413" s="1">
        <v>324547</v>
      </c>
      <c r="G413" s="1">
        <v>324547</v>
      </c>
      <c r="H413" s="1">
        <v>0</v>
      </c>
      <c r="I413" s="3">
        <v>0</v>
      </c>
      <c r="J413" s="3">
        <v>3</v>
      </c>
      <c r="K413" s="3">
        <v>14</v>
      </c>
      <c r="L413" s="3">
        <v>52</v>
      </c>
      <c r="M413" s="3">
        <v>53</v>
      </c>
      <c r="N413" s="3">
        <v>18</v>
      </c>
      <c r="O413" s="3">
        <v>8</v>
      </c>
      <c r="P413" s="3">
        <v>0</v>
      </c>
      <c r="Q413" s="3">
        <v>0</v>
      </c>
      <c r="R413" s="3">
        <v>1</v>
      </c>
      <c r="S413" s="2">
        <f t="shared" si="14"/>
        <v>149</v>
      </c>
      <c r="T413" s="4">
        <f t="shared" si="15"/>
        <v>2178.1677852348994</v>
      </c>
    </row>
    <row r="414" spans="1:20" hidden="1" x14ac:dyDescent="0.3">
      <c r="A414">
        <v>353870905000469</v>
      </c>
      <c r="B414" t="s">
        <v>217</v>
      </c>
      <c r="C414" t="s">
        <v>135</v>
      </c>
      <c r="D414">
        <v>1</v>
      </c>
      <c r="E414">
        <v>0</v>
      </c>
      <c r="F414" s="1">
        <v>195874</v>
      </c>
      <c r="G414" s="1">
        <v>195874</v>
      </c>
      <c r="H414" s="1">
        <v>0</v>
      </c>
      <c r="I414" s="3">
        <v>0</v>
      </c>
      <c r="J414" s="3">
        <v>1</v>
      </c>
      <c r="K414" s="3">
        <v>2</v>
      </c>
      <c r="L414" s="3">
        <v>25</v>
      </c>
      <c r="M414" s="3">
        <v>50</v>
      </c>
      <c r="N414" s="3">
        <v>8</v>
      </c>
      <c r="O414" s="3">
        <v>2</v>
      </c>
      <c r="P414" s="3">
        <v>0</v>
      </c>
      <c r="Q414" s="3">
        <v>0</v>
      </c>
      <c r="R414" s="3">
        <v>2</v>
      </c>
      <c r="S414" s="2">
        <f t="shared" si="14"/>
        <v>90</v>
      </c>
      <c r="T414" s="4">
        <f t="shared" si="15"/>
        <v>2176.3777777777777</v>
      </c>
    </row>
    <row r="415" spans="1:20" hidden="1" x14ac:dyDescent="0.3">
      <c r="A415">
        <v>353870910000008</v>
      </c>
      <c r="B415" t="s">
        <v>217</v>
      </c>
      <c r="C415" t="s">
        <v>218</v>
      </c>
      <c r="D415">
        <v>8</v>
      </c>
      <c r="E415">
        <v>0</v>
      </c>
      <c r="F415" s="1">
        <v>121588</v>
      </c>
      <c r="G415" s="1">
        <v>121588</v>
      </c>
      <c r="H415" s="1">
        <v>0</v>
      </c>
      <c r="I415" s="3">
        <v>0</v>
      </c>
      <c r="J415" s="3">
        <v>0</v>
      </c>
      <c r="K415" s="3">
        <v>11</v>
      </c>
      <c r="L415" s="3">
        <v>19</v>
      </c>
      <c r="M415" s="3">
        <v>15</v>
      </c>
      <c r="N415" s="3">
        <v>9</v>
      </c>
      <c r="O415" s="3">
        <v>0</v>
      </c>
      <c r="P415" s="3">
        <v>2</v>
      </c>
      <c r="Q415" s="3">
        <v>0</v>
      </c>
      <c r="R415" s="3">
        <v>0</v>
      </c>
      <c r="S415" s="2">
        <f t="shared" si="14"/>
        <v>56</v>
      </c>
      <c r="T415" s="4">
        <f t="shared" si="15"/>
        <v>2171.2142857142858</v>
      </c>
    </row>
    <row r="416" spans="1:20" hidden="1" x14ac:dyDescent="0.3">
      <c r="A416">
        <v>353870935000003</v>
      </c>
      <c r="B416" t="s">
        <v>217</v>
      </c>
      <c r="C416" t="s">
        <v>161</v>
      </c>
      <c r="D416">
        <v>1</v>
      </c>
      <c r="E416">
        <v>0</v>
      </c>
      <c r="F416" s="1">
        <v>372890</v>
      </c>
      <c r="G416" s="1">
        <v>372890</v>
      </c>
      <c r="H416" s="1">
        <v>0</v>
      </c>
      <c r="I416" s="3">
        <v>0</v>
      </c>
      <c r="J416" s="3">
        <v>3</v>
      </c>
      <c r="K416" s="3">
        <v>11</v>
      </c>
      <c r="L416" s="3">
        <v>52</v>
      </c>
      <c r="M416" s="3">
        <v>74</v>
      </c>
      <c r="N416" s="3">
        <v>23</v>
      </c>
      <c r="O416" s="3">
        <v>5</v>
      </c>
      <c r="P416" s="3">
        <v>2</v>
      </c>
      <c r="Q416" s="3">
        <v>0</v>
      </c>
      <c r="R416" s="3">
        <v>2</v>
      </c>
      <c r="S416" s="2">
        <f t="shared" si="14"/>
        <v>172</v>
      </c>
      <c r="T416" s="4">
        <f t="shared" si="15"/>
        <v>2167.9651162790697</v>
      </c>
    </row>
    <row r="417" spans="1:20" hidden="1" x14ac:dyDescent="0.3">
      <c r="A417">
        <v>353870905000332</v>
      </c>
      <c r="B417" t="s">
        <v>217</v>
      </c>
      <c r="C417" t="s">
        <v>188</v>
      </c>
      <c r="D417">
        <v>1</v>
      </c>
      <c r="E417">
        <v>0</v>
      </c>
      <c r="F417" s="1">
        <v>465815</v>
      </c>
      <c r="G417" s="1">
        <v>465815</v>
      </c>
      <c r="H417" s="1">
        <v>0</v>
      </c>
      <c r="I417" s="3">
        <v>1</v>
      </c>
      <c r="J417" s="3">
        <v>9</v>
      </c>
      <c r="K417" s="3">
        <v>27</v>
      </c>
      <c r="L417" s="3">
        <v>69</v>
      </c>
      <c r="M417" s="3">
        <v>78</v>
      </c>
      <c r="N417" s="3">
        <v>19</v>
      </c>
      <c r="O417" s="3">
        <v>4</v>
      </c>
      <c r="P417" s="3">
        <v>5</v>
      </c>
      <c r="Q417" s="3">
        <v>1</v>
      </c>
      <c r="R417" s="3">
        <v>2</v>
      </c>
      <c r="S417" s="2">
        <f t="shared" si="14"/>
        <v>215</v>
      </c>
      <c r="T417" s="4">
        <f t="shared" si="15"/>
        <v>2166.5813953488373</v>
      </c>
    </row>
    <row r="418" spans="1:20" hidden="1" x14ac:dyDescent="0.3">
      <c r="A418">
        <v>353870905000519</v>
      </c>
      <c r="B418" t="s">
        <v>217</v>
      </c>
      <c r="C418" t="s">
        <v>108</v>
      </c>
      <c r="D418">
        <v>1</v>
      </c>
      <c r="E418">
        <v>0</v>
      </c>
      <c r="F418" s="1">
        <v>521714</v>
      </c>
      <c r="G418" s="1">
        <v>521714</v>
      </c>
      <c r="H418" s="1">
        <v>0</v>
      </c>
      <c r="I418" s="3">
        <v>3</v>
      </c>
      <c r="J418" s="3">
        <v>2</v>
      </c>
      <c r="K418" s="3">
        <v>21</v>
      </c>
      <c r="L418" s="3">
        <v>72</v>
      </c>
      <c r="M418" s="3">
        <v>97</v>
      </c>
      <c r="N418" s="3">
        <v>33</v>
      </c>
      <c r="O418" s="3">
        <v>4</v>
      </c>
      <c r="P418" s="3">
        <v>3</v>
      </c>
      <c r="Q418" s="3">
        <v>0</v>
      </c>
      <c r="R418" s="3">
        <v>6</v>
      </c>
      <c r="S418" s="2">
        <f t="shared" si="14"/>
        <v>241</v>
      </c>
      <c r="T418" s="4">
        <f t="shared" si="15"/>
        <v>2164.7883817427387</v>
      </c>
    </row>
    <row r="419" spans="1:20" hidden="1" x14ac:dyDescent="0.3">
      <c r="A419">
        <v>353870905000577</v>
      </c>
      <c r="B419" t="s">
        <v>217</v>
      </c>
      <c r="C419" t="s">
        <v>218</v>
      </c>
      <c r="D419">
        <v>7</v>
      </c>
      <c r="E419">
        <v>0</v>
      </c>
      <c r="F419" s="1">
        <v>173180</v>
      </c>
      <c r="G419" s="1">
        <v>173180</v>
      </c>
      <c r="H419" s="1">
        <v>0</v>
      </c>
      <c r="I419" s="3">
        <v>0</v>
      </c>
      <c r="J419" s="3">
        <v>1</v>
      </c>
      <c r="K419" s="3">
        <v>5</v>
      </c>
      <c r="L419" s="3">
        <v>26</v>
      </c>
      <c r="M419" s="3">
        <v>30</v>
      </c>
      <c r="N419" s="3">
        <v>7</v>
      </c>
      <c r="O419" s="3">
        <v>6</v>
      </c>
      <c r="P419" s="3">
        <v>1</v>
      </c>
      <c r="Q419" s="3">
        <v>0</v>
      </c>
      <c r="R419" s="3">
        <v>4</v>
      </c>
      <c r="S419" s="2">
        <f t="shared" si="14"/>
        <v>80</v>
      </c>
      <c r="T419" s="4">
        <f t="shared" si="15"/>
        <v>2164.75</v>
      </c>
    </row>
    <row r="420" spans="1:20" hidden="1" x14ac:dyDescent="0.3">
      <c r="A420">
        <v>353870905000224</v>
      </c>
      <c r="B420" t="s">
        <v>217</v>
      </c>
      <c r="C420" t="s">
        <v>132</v>
      </c>
      <c r="D420">
        <v>1</v>
      </c>
      <c r="E420">
        <v>0</v>
      </c>
      <c r="F420" s="1">
        <v>453609</v>
      </c>
      <c r="G420" s="1">
        <v>453609</v>
      </c>
      <c r="H420" s="1">
        <v>0</v>
      </c>
      <c r="I420" s="3">
        <v>1</v>
      </c>
      <c r="J420" s="3">
        <v>2</v>
      </c>
      <c r="K420" s="3">
        <v>21</v>
      </c>
      <c r="L420" s="3">
        <v>47</v>
      </c>
      <c r="M420" s="3">
        <v>102</v>
      </c>
      <c r="N420" s="3">
        <v>22</v>
      </c>
      <c r="O420" s="3">
        <v>8</v>
      </c>
      <c r="P420" s="3">
        <v>3</v>
      </c>
      <c r="Q420" s="3">
        <v>0</v>
      </c>
      <c r="R420" s="3">
        <v>4</v>
      </c>
      <c r="S420" s="2">
        <f t="shared" si="14"/>
        <v>210</v>
      </c>
      <c r="T420" s="4">
        <f t="shared" si="15"/>
        <v>2160.042857142857</v>
      </c>
    </row>
    <row r="421" spans="1:20" hidden="1" x14ac:dyDescent="0.3">
      <c r="A421">
        <v>353870905000342</v>
      </c>
      <c r="B421" t="s">
        <v>217</v>
      </c>
      <c r="C421" t="s">
        <v>179</v>
      </c>
      <c r="D421">
        <v>1</v>
      </c>
      <c r="E421">
        <v>0</v>
      </c>
      <c r="F421" s="1">
        <v>429565</v>
      </c>
      <c r="G421" s="1">
        <v>429565</v>
      </c>
      <c r="H421" s="1">
        <v>0</v>
      </c>
      <c r="I421" s="3">
        <v>0</v>
      </c>
      <c r="J421" s="3">
        <v>3</v>
      </c>
      <c r="K421" s="3">
        <v>18</v>
      </c>
      <c r="L421" s="3">
        <v>45</v>
      </c>
      <c r="M421" s="3">
        <v>80</v>
      </c>
      <c r="N421" s="3">
        <v>18</v>
      </c>
      <c r="O421" s="3">
        <v>8</v>
      </c>
      <c r="P421" s="3">
        <v>5</v>
      </c>
      <c r="Q421" s="3">
        <v>0</v>
      </c>
      <c r="R421" s="3">
        <v>22</v>
      </c>
      <c r="S421" s="2">
        <f t="shared" si="14"/>
        <v>199</v>
      </c>
      <c r="T421" s="4">
        <f t="shared" si="15"/>
        <v>2158.6180904522612</v>
      </c>
    </row>
    <row r="422" spans="1:20" hidden="1" x14ac:dyDescent="0.3">
      <c r="A422">
        <v>353870935000065</v>
      </c>
      <c r="B422" t="s">
        <v>217</v>
      </c>
      <c r="C422" t="s">
        <v>147</v>
      </c>
      <c r="D422">
        <v>1</v>
      </c>
      <c r="E422">
        <v>0</v>
      </c>
      <c r="F422" s="1">
        <v>105353</v>
      </c>
      <c r="G422" s="1">
        <v>105353</v>
      </c>
      <c r="H422" s="1">
        <v>0</v>
      </c>
      <c r="I422" s="3">
        <v>0</v>
      </c>
      <c r="J422" s="3">
        <v>2</v>
      </c>
      <c r="K422" s="3">
        <v>6</v>
      </c>
      <c r="L422" s="3">
        <v>16</v>
      </c>
      <c r="M422" s="3">
        <v>19</v>
      </c>
      <c r="N422" s="3">
        <v>3</v>
      </c>
      <c r="O422" s="3">
        <v>3</v>
      </c>
      <c r="P422" s="3">
        <v>0</v>
      </c>
      <c r="Q422" s="3">
        <v>0</v>
      </c>
      <c r="R422" s="3">
        <v>0</v>
      </c>
      <c r="S422" s="2">
        <f t="shared" si="14"/>
        <v>49</v>
      </c>
      <c r="T422" s="4">
        <f t="shared" si="15"/>
        <v>2150.0612244897961</v>
      </c>
    </row>
    <row r="423" spans="1:20" hidden="1" x14ac:dyDescent="0.3">
      <c r="A423">
        <v>353870905000470</v>
      </c>
      <c r="B423" t="s">
        <v>217</v>
      </c>
      <c r="C423" t="s">
        <v>145</v>
      </c>
      <c r="D423">
        <v>1</v>
      </c>
      <c r="E423">
        <v>0</v>
      </c>
      <c r="F423" s="1">
        <v>79470</v>
      </c>
      <c r="G423" s="1">
        <v>79470</v>
      </c>
      <c r="H423" s="1">
        <v>0</v>
      </c>
      <c r="I423" s="3">
        <v>0</v>
      </c>
      <c r="J423" s="3">
        <v>0</v>
      </c>
      <c r="K423" s="3">
        <v>1</v>
      </c>
      <c r="L423" s="3">
        <v>13</v>
      </c>
      <c r="M423" s="3">
        <v>16</v>
      </c>
      <c r="N423" s="3">
        <v>6</v>
      </c>
      <c r="O423" s="3">
        <v>0</v>
      </c>
      <c r="P423" s="3">
        <v>0</v>
      </c>
      <c r="Q423" s="3">
        <v>1</v>
      </c>
      <c r="R423" s="3">
        <v>0</v>
      </c>
      <c r="S423" s="2">
        <f t="shared" si="14"/>
        <v>37</v>
      </c>
      <c r="T423" s="4">
        <f t="shared" si="15"/>
        <v>2147.8378378378379</v>
      </c>
    </row>
    <row r="424" spans="1:20" hidden="1" x14ac:dyDescent="0.3">
      <c r="A424">
        <v>353870905000484</v>
      </c>
      <c r="B424" t="s">
        <v>217</v>
      </c>
      <c r="C424" t="s">
        <v>157</v>
      </c>
      <c r="D424">
        <v>1</v>
      </c>
      <c r="E424">
        <v>0</v>
      </c>
      <c r="F424" s="1">
        <v>339345</v>
      </c>
      <c r="G424" s="1">
        <v>339345</v>
      </c>
      <c r="H424" s="1">
        <v>0</v>
      </c>
      <c r="I424" s="3">
        <v>0</v>
      </c>
      <c r="J424" s="3">
        <v>0</v>
      </c>
      <c r="K424" s="3">
        <v>3</v>
      </c>
      <c r="L424" s="3">
        <v>22</v>
      </c>
      <c r="M424" s="3">
        <v>59</v>
      </c>
      <c r="N424" s="3">
        <v>30</v>
      </c>
      <c r="O424" s="3">
        <v>22</v>
      </c>
      <c r="P424" s="3">
        <v>10</v>
      </c>
      <c r="Q424" s="3">
        <v>0</v>
      </c>
      <c r="R424" s="3">
        <v>12</v>
      </c>
      <c r="S424" s="2">
        <f t="shared" si="14"/>
        <v>158</v>
      </c>
      <c r="T424" s="4">
        <f t="shared" si="15"/>
        <v>2147.753164556962</v>
      </c>
    </row>
    <row r="425" spans="1:20" hidden="1" x14ac:dyDescent="0.3">
      <c r="A425">
        <v>353870910000002</v>
      </c>
      <c r="B425" t="s">
        <v>217</v>
      </c>
      <c r="C425" t="s">
        <v>218</v>
      </c>
      <c r="D425">
        <v>1</v>
      </c>
      <c r="E425">
        <v>0</v>
      </c>
      <c r="F425" s="1">
        <v>575349</v>
      </c>
      <c r="G425" s="1">
        <v>575349</v>
      </c>
      <c r="H425" s="1">
        <v>0</v>
      </c>
      <c r="I425" s="3">
        <v>0</v>
      </c>
      <c r="J425" s="3">
        <v>3</v>
      </c>
      <c r="K425" s="3">
        <v>13</v>
      </c>
      <c r="L425" s="3">
        <v>87</v>
      </c>
      <c r="M425" s="3">
        <v>117</v>
      </c>
      <c r="N425" s="3">
        <v>27</v>
      </c>
      <c r="O425" s="3">
        <v>13</v>
      </c>
      <c r="P425" s="3">
        <v>5</v>
      </c>
      <c r="Q425" s="3">
        <v>0</v>
      </c>
      <c r="R425" s="3">
        <v>3</v>
      </c>
      <c r="S425" s="2">
        <f t="shared" si="14"/>
        <v>268</v>
      </c>
      <c r="T425" s="4">
        <f t="shared" si="15"/>
        <v>2146.8246268656717</v>
      </c>
    </row>
    <row r="426" spans="1:20" hidden="1" x14ac:dyDescent="0.3">
      <c r="A426">
        <v>353870905000435</v>
      </c>
      <c r="B426" t="s">
        <v>217</v>
      </c>
      <c r="C426" t="s">
        <v>119</v>
      </c>
      <c r="D426">
        <v>2</v>
      </c>
      <c r="E426">
        <v>0</v>
      </c>
      <c r="F426" s="1">
        <v>655321</v>
      </c>
      <c r="G426" s="1">
        <v>655321</v>
      </c>
      <c r="H426" s="1">
        <v>0</v>
      </c>
      <c r="I426" s="3">
        <v>2</v>
      </c>
      <c r="J426" s="3">
        <v>0</v>
      </c>
      <c r="K426" s="3">
        <v>24</v>
      </c>
      <c r="L426" s="3">
        <v>77</v>
      </c>
      <c r="M426" s="3">
        <v>118</v>
      </c>
      <c r="N426" s="3">
        <v>50</v>
      </c>
      <c r="O426" s="3">
        <v>18</v>
      </c>
      <c r="P426" s="3">
        <v>3</v>
      </c>
      <c r="Q426" s="3">
        <v>1</v>
      </c>
      <c r="R426" s="3">
        <v>13</v>
      </c>
      <c r="S426" s="2">
        <f t="shared" si="14"/>
        <v>306</v>
      </c>
      <c r="T426" s="4">
        <f t="shared" si="15"/>
        <v>2141.5718954248364</v>
      </c>
    </row>
    <row r="427" spans="1:20" hidden="1" x14ac:dyDescent="0.3">
      <c r="A427">
        <v>353870905000338</v>
      </c>
      <c r="B427" t="s">
        <v>217</v>
      </c>
      <c r="C427" t="s">
        <v>188</v>
      </c>
      <c r="D427">
        <v>1</v>
      </c>
      <c r="E427">
        <v>0</v>
      </c>
      <c r="F427" s="1">
        <v>474874</v>
      </c>
      <c r="G427" s="1">
        <v>474874</v>
      </c>
      <c r="H427" s="1">
        <v>0</v>
      </c>
      <c r="I427" s="3">
        <v>1</v>
      </c>
      <c r="J427" s="3">
        <v>6</v>
      </c>
      <c r="K427" s="3">
        <v>16</v>
      </c>
      <c r="L427" s="3">
        <v>76</v>
      </c>
      <c r="M427" s="3">
        <v>72</v>
      </c>
      <c r="N427" s="3">
        <v>38</v>
      </c>
      <c r="O427" s="3">
        <v>10</v>
      </c>
      <c r="P427" s="3">
        <v>2</v>
      </c>
      <c r="Q427" s="3">
        <v>0</v>
      </c>
      <c r="R427" s="3">
        <v>1</v>
      </c>
      <c r="S427" s="2">
        <f t="shared" si="14"/>
        <v>222</v>
      </c>
      <c r="T427" s="4">
        <f t="shared" si="15"/>
        <v>2139.0720720720719</v>
      </c>
    </row>
    <row r="428" spans="1:20" hidden="1" x14ac:dyDescent="0.3">
      <c r="A428">
        <v>353870905000391</v>
      </c>
      <c r="B428" t="s">
        <v>217</v>
      </c>
      <c r="C428" t="s">
        <v>108</v>
      </c>
      <c r="D428">
        <v>1</v>
      </c>
      <c r="E428">
        <v>0</v>
      </c>
      <c r="F428" s="1">
        <v>326124</v>
      </c>
      <c r="G428" s="1">
        <v>326124</v>
      </c>
      <c r="H428" s="1">
        <v>0</v>
      </c>
      <c r="I428" s="3">
        <v>1</v>
      </c>
      <c r="J428" s="3">
        <v>2</v>
      </c>
      <c r="K428" s="3">
        <v>9</v>
      </c>
      <c r="L428" s="3">
        <v>51</v>
      </c>
      <c r="M428" s="3">
        <v>62</v>
      </c>
      <c r="N428" s="3">
        <v>16</v>
      </c>
      <c r="O428" s="3">
        <v>8</v>
      </c>
      <c r="P428" s="3">
        <v>1</v>
      </c>
      <c r="Q428" s="3">
        <v>0</v>
      </c>
      <c r="R428" s="3">
        <v>3</v>
      </c>
      <c r="S428" s="2">
        <f t="shared" si="14"/>
        <v>153</v>
      </c>
      <c r="T428" s="4">
        <f t="shared" si="15"/>
        <v>2131.5294117647059</v>
      </c>
    </row>
    <row r="429" spans="1:20" hidden="1" x14ac:dyDescent="0.3">
      <c r="A429">
        <v>353870935000088</v>
      </c>
      <c r="B429" t="s">
        <v>217</v>
      </c>
      <c r="C429" t="s">
        <v>170</v>
      </c>
      <c r="D429">
        <v>1</v>
      </c>
      <c r="E429">
        <v>1</v>
      </c>
      <c r="F429" s="1">
        <v>321593</v>
      </c>
      <c r="G429" s="1">
        <v>320133</v>
      </c>
      <c r="H429" s="1">
        <v>1460</v>
      </c>
      <c r="I429" s="3">
        <v>0</v>
      </c>
      <c r="J429" s="3">
        <v>4</v>
      </c>
      <c r="K429" s="3">
        <v>6</v>
      </c>
      <c r="L429" s="3">
        <v>61</v>
      </c>
      <c r="M429" s="3">
        <v>56</v>
      </c>
      <c r="N429" s="3">
        <v>16</v>
      </c>
      <c r="O429" s="3">
        <v>4</v>
      </c>
      <c r="P429" s="3">
        <v>2</v>
      </c>
      <c r="Q429" s="3">
        <v>0</v>
      </c>
      <c r="R429" s="3">
        <v>2</v>
      </c>
      <c r="S429" s="2">
        <f t="shared" si="14"/>
        <v>151</v>
      </c>
      <c r="T429" s="4">
        <f t="shared" si="15"/>
        <v>2129.7549668874171</v>
      </c>
    </row>
    <row r="430" spans="1:20" hidden="1" x14ac:dyDescent="0.3">
      <c r="A430">
        <v>353870905000206</v>
      </c>
      <c r="B430" t="s">
        <v>217</v>
      </c>
      <c r="C430" t="s">
        <v>167</v>
      </c>
      <c r="D430">
        <v>1</v>
      </c>
      <c r="E430">
        <v>0</v>
      </c>
      <c r="F430" s="1">
        <v>423731</v>
      </c>
      <c r="G430" s="1">
        <v>423731</v>
      </c>
      <c r="H430" s="1">
        <v>0</v>
      </c>
      <c r="I430" s="3">
        <v>3</v>
      </c>
      <c r="J430" s="3">
        <v>8</v>
      </c>
      <c r="K430" s="3">
        <v>20</v>
      </c>
      <c r="L430" s="3">
        <v>47</v>
      </c>
      <c r="M430" s="3">
        <v>79</v>
      </c>
      <c r="N430" s="3">
        <v>21</v>
      </c>
      <c r="O430" s="3">
        <v>15</v>
      </c>
      <c r="P430" s="3">
        <v>1</v>
      </c>
      <c r="Q430" s="3">
        <v>1</v>
      </c>
      <c r="R430" s="3">
        <v>4</v>
      </c>
      <c r="S430" s="2">
        <f t="shared" si="14"/>
        <v>199</v>
      </c>
      <c r="T430" s="4">
        <f t="shared" si="15"/>
        <v>2129.3015075376884</v>
      </c>
    </row>
    <row r="431" spans="1:20" hidden="1" x14ac:dyDescent="0.3">
      <c r="A431">
        <v>353870935000032</v>
      </c>
      <c r="B431" t="s">
        <v>217</v>
      </c>
      <c r="C431" t="s">
        <v>161</v>
      </c>
      <c r="D431">
        <v>1</v>
      </c>
      <c r="E431">
        <v>0</v>
      </c>
      <c r="F431" s="1">
        <v>341188</v>
      </c>
      <c r="G431" s="1">
        <v>341188</v>
      </c>
      <c r="H431" s="1">
        <v>0</v>
      </c>
      <c r="I431" s="3">
        <v>1</v>
      </c>
      <c r="J431" s="3">
        <v>6</v>
      </c>
      <c r="K431" s="3">
        <v>13</v>
      </c>
      <c r="L431" s="3">
        <v>66</v>
      </c>
      <c r="M431" s="3">
        <v>51</v>
      </c>
      <c r="N431" s="3">
        <v>18</v>
      </c>
      <c r="O431" s="3">
        <v>6</v>
      </c>
      <c r="P431" s="3">
        <v>0</v>
      </c>
      <c r="Q431" s="3">
        <v>0</v>
      </c>
      <c r="R431" s="3">
        <v>0</v>
      </c>
      <c r="S431" s="2">
        <f t="shared" si="14"/>
        <v>161</v>
      </c>
      <c r="T431" s="4">
        <f t="shared" si="15"/>
        <v>2119.1801242236024</v>
      </c>
    </row>
    <row r="432" spans="1:20" hidden="1" x14ac:dyDescent="0.3">
      <c r="A432">
        <v>353870905000419</v>
      </c>
      <c r="B432" t="s">
        <v>217</v>
      </c>
      <c r="C432" t="s">
        <v>102</v>
      </c>
      <c r="D432">
        <v>1</v>
      </c>
      <c r="E432">
        <v>0</v>
      </c>
      <c r="F432" s="1">
        <v>749769</v>
      </c>
      <c r="G432" s="1">
        <v>749769</v>
      </c>
      <c r="H432" s="1">
        <v>0</v>
      </c>
      <c r="I432" s="3">
        <v>4</v>
      </c>
      <c r="J432" s="3">
        <v>4</v>
      </c>
      <c r="K432" s="3">
        <v>35</v>
      </c>
      <c r="L432" s="3">
        <v>118</v>
      </c>
      <c r="M432" s="3">
        <v>139</v>
      </c>
      <c r="N432" s="3">
        <v>39</v>
      </c>
      <c r="O432" s="3">
        <v>14</v>
      </c>
      <c r="P432" s="3">
        <v>0</v>
      </c>
      <c r="Q432" s="3">
        <v>0</v>
      </c>
      <c r="R432" s="3">
        <v>1</v>
      </c>
      <c r="S432" s="2">
        <f t="shared" si="14"/>
        <v>354</v>
      </c>
      <c r="T432" s="4">
        <f t="shared" si="15"/>
        <v>2117.9915254237289</v>
      </c>
    </row>
    <row r="433" spans="1:20" hidden="1" x14ac:dyDescent="0.3">
      <c r="A433">
        <v>353870935000034</v>
      </c>
      <c r="B433" t="s">
        <v>217</v>
      </c>
      <c r="C433" t="s">
        <v>161</v>
      </c>
      <c r="D433">
        <v>1</v>
      </c>
      <c r="E433">
        <v>0</v>
      </c>
      <c r="F433" s="1">
        <v>385347</v>
      </c>
      <c r="G433" s="1">
        <v>385347</v>
      </c>
      <c r="H433" s="1">
        <v>0</v>
      </c>
      <c r="I433" s="3">
        <v>1</v>
      </c>
      <c r="J433" s="3">
        <v>4</v>
      </c>
      <c r="K433" s="3">
        <v>14</v>
      </c>
      <c r="L433" s="3">
        <v>70</v>
      </c>
      <c r="M433" s="3">
        <v>67</v>
      </c>
      <c r="N433" s="3">
        <v>21</v>
      </c>
      <c r="O433" s="3">
        <v>4</v>
      </c>
      <c r="P433" s="3">
        <v>0</v>
      </c>
      <c r="Q433" s="3">
        <v>0</v>
      </c>
      <c r="R433" s="3">
        <v>1</v>
      </c>
      <c r="S433" s="2">
        <f t="shared" si="14"/>
        <v>182</v>
      </c>
      <c r="T433" s="4">
        <f t="shared" si="15"/>
        <v>2117.2912087912086</v>
      </c>
    </row>
    <row r="434" spans="1:20" hidden="1" x14ac:dyDescent="0.3">
      <c r="A434">
        <v>353870905000349</v>
      </c>
      <c r="B434" t="s">
        <v>217</v>
      </c>
      <c r="C434" t="s">
        <v>173</v>
      </c>
      <c r="D434">
        <v>1</v>
      </c>
      <c r="E434">
        <v>0</v>
      </c>
      <c r="F434" s="1">
        <v>460137</v>
      </c>
      <c r="G434" s="1">
        <v>460137</v>
      </c>
      <c r="H434" s="1">
        <v>0</v>
      </c>
      <c r="I434" s="3">
        <v>0</v>
      </c>
      <c r="J434" s="3">
        <v>0</v>
      </c>
      <c r="K434" s="3">
        <v>28</v>
      </c>
      <c r="L434" s="3">
        <v>70</v>
      </c>
      <c r="M434" s="3">
        <v>86</v>
      </c>
      <c r="N434" s="3">
        <v>21</v>
      </c>
      <c r="O434" s="3">
        <v>10</v>
      </c>
      <c r="P434" s="3">
        <v>1</v>
      </c>
      <c r="Q434" s="3">
        <v>0</v>
      </c>
      <c r="R434" s="3">
        <v>2</v>
      </c>
      <c r="S434" s="2">
        <f t="shared" si="14"/>
        <v>218</v>
      </c>
      <c r="T434" s="4">
        <f t="shared" si="15"/>
        <v>2110.7201834862385</v>
      </c>
    </row>
    <row r="435" spans="1:20" hidden="1" x14ac:dyDescent="0.3">
      <c r="A435">
        <v>353870905000249</v>
      </c>
      <c r="B435" t="s">
        <v>217</v>
      </c>
      <c r="C435" t="s">
        <v>116</v>
      </c>
      <c r="D435">
        <v>1</v>
      </c>
      <c r="E435">
        <v>1</v>
      </c>
      <c r="F435" s="1">
        <v>314484</v>
      </c>
      <c r="G435" s="1">
        <v>313374</v>
      </c>
      <c r="H435" s="1">
        <v>1110</v>
      </c>
      <c r="I435" s="3">
        <v>2</v>
      </c>
      <c r="J435" s="3">
        <v>1</v>
      </c>
      <c r="K435" s="3">
        <v>18</v>
      </c>
      <c r="L435" s="3">
        <v>41</v>
      </c>
      <c r="M435" s="3">
        <v>64</v>
      </c>
      <c r="N435" s="3">
        <v>13</v>
      </c>
      <c r="O435" s="3">
        <v>5</v>
      </c>
      <c r="P435" s="3">
        <v>2</v>
      </c>
      <c r="Q435" s="3">
        <v>0</v>
      </c>
      <c r="R435" s="3">
        <v>3</v>
      </c>
      <c r="S435" s="2">
        <f t="shared" si="14"/>
        <v>149</v>
      </c>
      <c r="T435" s="4">
        <f t="shared" si="15"/>
        <v>2110.6308724832215</v>
      </c>
    </row>
    <row r="436" spans="1:20" hidden="1" x14ac:dyDescent="0.3">
      <c r="A436">
        <v>353870905000266</v>
      </c>
      <c r="B436" t="s">
        <v>217</v>
      </c>
      <c r="C436" t="s">
        <v>135</v>
      </c>
      <c r="D436">
        <v>1</v>
      </c>
      <c r="E436">
        <v>0</v>
      </c>
      <c r="F436" s="1">
        <v>389924</v>
      </c>
      <c r="G436" s="1">
        <v>389924</v>
      </c>
      <c r="H436" s="1">
        <v>0</v>
      </c>
      <c r="I436" s="3">
        <v>1</v>
      </c>
      <c r="J436" s="3">
        <v>3</v>
      </c>
      <c r="K436" s="3">
        <v>15</v>
      </c>
      <c r="L436" s="3">
        <v>44</v>
      </c>
      <c r="M436" s="3">
        <v>73</v>
      </c>
      <c r="N436" s="3">
        <v>29</v>
      </c>
      <c r="O436" s="3">
        <v>8</v>
      </c>
      <c r="P436" s="3">
        <v>5</v>
      </c>
      <c r="Q436" s="3">
        <v>0</v>
      </c>
      <c r="R436" s="3">
        <v>7</v>
      </c>
      <c r="S436" s="2">
        <f t="shared" si="14"/>
        <v>185</v>
      </c>
      <c r="T436" s="4">
        <f t="shared" si="15"/>
        <v>2107.6972972972972</v>
      </c>
    </row>
    <row r="437" spans="1:20" hidden="1" x14ac:dyDescent="0.3">
      <c r="A437">
        <v>353870935000015</v>
      </c>
      <c r="B437" t="s">
        <v>217</v>
      </c>
      <c r="C437" t="s">
        <v>155</v>
      </c>
      <c r="D437">
        <v>1</v>
      </c>
      <c r="E437">
        <v>0</v>
      </c>
      <c r="F437" s="1">
        <v>478040</v>
      </c>
      <c r="G437" s="1">
        <v>478040</v>
      </c>
      <c r="H437" s="1">
        <v>0</v>
      </c>
      <c r="I437" s="3">
        <v>0</v>
      </c>
      <c r="J437" s="3">
        <v>4</v>
      </c>
      <c r="K437" s="3">
        <v>23</v>
      </c>
      <c r="L437" s="3">
        <v>58</v>
      </c>
      <c r="M437" s="3">
        <v>78</v>
      </c>
      <c r="N437" s="3">
        <v>27</v>
      </c>
      <c r="O437" s="3">
        <v>11</v>
      </c>
      <c r="P437" s="3">
        <v>4</v>
      </c>
      <c r="Q437" s="3">
        <v>1</v>
      </c>
      <c r="R437" s="3">
        <v>21</v>
      </c>
      <c r="S437" s="2">
        <f t="shared" si="14"/>
        <v>227</v>
      </c>
      <c r="T437" s="4">
        <f t="shared" si="15"/>
        <v>2105.9030837004407</v>
      </c>
    </row>
    <row r="438" spans="1:20" hidden="1" x14ac:dyDescent="0.3">
      <c r="A438">
        <v>353870905000518</v>
      </c>
      <c r="B438" t="s">
        <v>217</v>
      </c>
      <c r="C438" t="s">
        <v>108</v>
      </c>
      <c r="D438">
        <v>1</v>
      </c>
      <c r="E438">
        <v>0</v>
      </c>
      <c r="F438" s="1">
        <v>540409</v>
      </c>
      <c r="G438" s="1">
        <v>540409</v>
      </c>
      <c r="H438" s="1">
        <v>0</v>
      </c>
      <c r="I438" s="3">
        <v>0</v>
      </c>
      <c r="J438" s="3">
        <v>4</v>
      </c>
      <c r="K438" s="3">
        <v>15</v>
      </c>
      <c r="L438" s="3">
        <v>85</v>
      </c>
      <c r="M438" s="3">
        <v>115</v>
      </c>
      <c r="N438" s="3">
        <v>26</v>
      </c>
      <c r="O438" s="3">
        <v>10</v>
      </c>
      <c r="P438" s="3">
        <v>1</v>
      </c>
      <c r="Q438" s="3">
        <v>0</v>
      </c>
      <c r="R438" s="3">
        <v>1</v>
      </c>
      <c r="S438" s="2">
        <f t="shared" si="14"/>
        <v>257</v>
      </c>
      <c r="T438" s="4">
        <f t="shared" si="15"/>
        <v>2102.758754863813</v>
      </c>
    </row>
    <row r="439" spans="1:20" hidden="1" x14ac:dyDescent="0.3">
      <c r="A439">
        <v>353870905000160</v>
      </c>
      <c r="B439" t="s">
        <v>217</v>
      </c>
      <c r="C439" t="s">
        <v>116</v>
      </c>
      <c r="D439">
        <v>1</v>
      </c>
      <c r="E439">
        <v>0</v>
      </c>
      <c r="F439" s="1">
        <v>252152</v>
      </c>
      <c r="G439" s="1">
        <v>252152</v>
      </c>
      <c r="H439" s="1">
        <v>0</v>
      </c>
      <c r="I439" s="3">
        <v>0</v>
      </c>
      <c r="J439" s="3">
        <v>1</v>
      </c>
      <c r="K439" s="3">
        <v>12</v>
      </c>
      <c r="L439" s="3">
        <v>34</v>
      </c>
      <c r="M439" s="3">
        <v>46</v>
      </c>
      <c r="N439" s="3">
        <v>14</v>
      </c>
      <c r="O439" s="3">
        <v>10</v>
      </c>
      <c r="P439" s="3">
        <v>1</v>
      </c>
      <c r="Q439" s="3">
        <v>0</v>
      </c>
      <c r="R439" s="3">
        <v>2</v>
      </c>
      <c r="S439" s="2">
        <f t="shared" si="14"/>
        <v>120</v>
      </c>
      <c r="T439" s="4">
        <f t="shared" si="15"/>
        <v>2101.2666666666669</v>
      </c>
    </row>
    <row r="440" spans="1:20" hidden="1" x14ac:dyDescent="0.3">
      <c r="A440">
        <v>353870905000269</v>
      </c>
      <c r="B440" t="s">
        <v>217</v>
      </c>
      <c r="C440" t="s">
        <v>145</v>
      </c>
      <c r="D440">
        <v>1</v>
      </c>
      <c r="E440">
        <v>0</v>
      </c>
      <c r="F440" s="1">
        <v>461384</v>
      </c>
      <c r="G440" s="1">
        <v>461384</v>
      </c>
      <c r="H440" s="1">
        <v>0</v>
      </c>
      <c r="I440" s="3">
        <v>0</v>
      </c>
      <c r="J440" s="3">
        <v>5</v>
      </c>
      <c r="K440" s="3">
        <v>24</v>
      </c>
      <c r="L440" s="3">
        <v>72</v>
      </c>
      <c r="M440" s="3">
        <v>86</v>
      </c>
      <c r="N440" s="3">
        <v>21</v>
      </c>
      <c r="O440" s="3">
        <v>7</v>
      </c>
      <c r="P440" s="3">
        <v>1</v>
      </c>
      <c r="Q440" s="3">
        <v>0</v>
      </c>
      <c r="R440" s="3">
        <v>4</v>
      </c>
      <c r="S440" s="2">
        <f t="shared" si="14"/>
        <v>220</v>
      </c>
      <c r="T440" s="4">
        <f t="shared" si="15"/>
        <v>2097.1999999999998</v>
      </c>
    </row>
    <row r="441" spans="1:20" hidden="1" x14ac:dyDescent="0.3">
      <c r="A441">
        <v>353870935000075</v>
      </c>
      <c r="B441" t="s">
        <v>217</v>
      </c>
      <c r="C441" t="s">
        <v>170</v>
      </c>
      <c r="D441">
        <v>1</v>
      </c>
      <c r="E441">
        <v>0</v>
      </c>
      <c r="F441" s="1">
        <v>29350</v>
      </c>
      <c r="G441" s="1">
        <v>29350</v>
      </c>
      <c r="H441" s="1">
        <v>0</v>
      </c>
      <c r="I441" s="3">
        <v>0</v>
      </c>
      <c r="J441" s="3">
        <v>0</v>
      </c>
      <c r="K441" s="3">
        <v>3</v>
      </c>
      <c r="L441" s="3">
        <v>1</v>
      </c>
      <c r="M441" s="3">
        <v>6</v>
      </c>
      <c r="N441" s="3">
        <v>3</v>
      </c>
      <c r="O441" s="3">
        <v>1</v>
      </c>
      <c r="P441" s="3">
        <v>0</v>
      </c>
      <c r="Q441" s="3">
        <v>0</v>
      </c>
      <c r="R441" s="3">
        <v>0</v>
      </c>
      <c r="S441" s="2">
        <f t="shared" si="14"/>
        <v>14</v>
      </c>
      <c r="T441" s="4">
        <f t="shared" si="15"/>
        <v>2096.4285714285716</v>
      </c>
    </row>
    <row r="442" spans="1:20" hidden="1" x14ac:dyDescent="0.3">
      <c r="A442">
        <v>353870905000063</v>
      </c>
      <c r="B442" t="s">
        <v>217</v>
      </c>
      <c r="C442" t="s">
        <v>68</v>
      </c>
      <c r="D442">
        <v>1</v>
      </c>
      <c r="E442">
        <v>0</v>
      </c>
      <c r="F442" s="1">
        <v>320461</v>
      </c>
      <c r="G442" s="1">
        <v>320461</v>
      </c>
      <c r="H442" s="1">
        <v>0</v>
      </c>
      <c r="I442" s="3">
        <v>0</v>
      </c>
      <c r="J442" s="3">
        <v>0</v>
      </c>
      <c r="K442" s="3">
        <v>0</v>
      </c>
      <c r="L442" s="3">
        <v>21</v>
      </c>
      <c r="M442" s="3">
        <v>43</v>
      </c>
      <c r="N442" s="3">
        <v>46</v>
      </c>
      <c r="O442" s="3">
        <v>20</v>
      </c>
      <c r="P442" s="3">
        <v>19</v>
      </c>
      <c r="Q442" s="3">
        <v>4</v>
      </c>
      <c r="R442" s="3">
        <v>0</v>
      </c>
      <c r="S442" s="2">
        <f t="shared" si="14"/>
        <v>153</v>
      </c>
      <c r="T442" s="4">
        <f t="shared" si="15"/>
        <v>2094.5163398692812</v>
      </c>
    </row>
    <row r="443" spans="1:20" hidden="1" x14ac:dyDescent="0.3">
      <c r="A443">
        <v>353870935000028</v>
      </c>
      <c r="B443" t="s">
        <v>217</v>
      </c>
      <c r="C443" t="s">
        <v>161</v>
      </c>
      <c r="D443">
        <v>1</v>
      </c>
      <c r="E443">
        <v>0</v>
      </c>
      <c r="F443" s="1">
        <v>470972</v>
      </c>
      <c r="G443" s="1">
        <v>470972</v>
      </c>
      <c r="H443" s="1">
        <v>0</v>
      </c>
      <c r="I443" s="3">
        <v>3</v>
      </c>
      <c r="J443" s="3">
        <v>2</v>
      </c>
      <c r="K443" s="3">
        <v>11</v>
      </c>
      <c r="L443" s="3">
        <v>81</v>
      </c>
      <c r="M443" s="3">
        <v>91</v>
      </c>
      <c r="N443" s="3">
        <v>21</v>
      </c>
      <c r="O443" s="3">
        <v>9</v>
      </c>
      <c r="P443" s="3">
        <v>3</v>
      </c>
      <c r="Q443" s="3">
        <v>1</v>
      </c>
      <c r="R443" s="3">
        <v>3</v>
      </c>
      <c r="S443" s="2">
        <f t="shared" si="14"/>
        <v>225</v>
      </c>
      <c r="T443" s="4">
        <f t="shared" si="15"/>
        <v>2093.2088888888889</v>
      </c>
    </row>
    <row r="444" spans="1:20" hidden="1" x14ac:dyDescent="0.3">
      <c r="A444">
        <v>353870935000019</v>
      </c>
      <c r="B444" t="s">
        <v>217</v>
      </c>
      <c r="C444" t="s">
        <v>155</v>
      </c>
      <c r="D444">
        <v>1</v>
      </c>
      <c r="E444">
        <v>0</v>
      </c>
      <c r="F444" s="1">
        <v>311857</v>
      </c>
      <c r="G444" s="1">
        <v>311857</v>
      </c>
      <c r="H444" s="1">
        <v>0</v>
      </c>
      <c r="I444" s="3">
        <v>0</v>
      </c>
      <c r="J444" s="3">
        <v>3</v>
      </c>
      <c r="K444" s="3">
        <v>17</v>
      </c>
      <c r="L444" s="3">
        <v>46</v>
      </c>
      <c r="M444" s="3">
        <v>53</v>
      </c>
      <c r="N444" s="3">
        <v>15</v>
      </c>
      <c r="O444" s="3">
        <v>9</v>
      </c>
      <c r="P444" s="3">
        <v>3</v>
      </c>
      <c r="Q444" s="3">
        <v>0</v>
      </c>
      <c r="R444" s="3">
        <v>3</v>
      </c>
      <c r="S444" s="2">
        <f t="shared" si="14"/>
        <v>149</v>
      </c>
      <c r="T444" s="4">
        <f t="shared" si="15"/>
        <v>2093</v>
      </c>
    </row>
    <row r="445" spans="1:20" hidden="1" x14ac:dyDescent="0.3">
      <c r="A445">
        <v>353870935000054</v>
      </c>
      <c r="B445" t="s">
        <v>217</v>
      </c>
      <c r="C445" t="s">
        <v>155</v>
      </c>
      <c r="D445">
        <v>2</v>
      </c>
      <c r="E445">
        <v>2</v>
      </c>
      <c r="F445" s="1">
        <v>519607</v>
      </c>
      <c r="G445" s="1">
        <v>516137</v>
      </c>
      <c r="H445" s="1">
        <v>3470</v>
      </c>
      <c r="I445" s="3">
        <v>0</v>
      </c>
      <c r="J445" s="3">
        <v>4</v>
      </c>
      <c r="K445" s="3">
        <v>29</v>
      </c>
      <c r="L445" s="3">
        <v>87</v>
      </c>
      <c r="M445" s="3">
        <v>92</v>
      </c>
      <c r="N445" s="3">
        <v>23</v>
      </c>
      <c r="O445" s="3">
        <v>11</v>
      </c>
      <c r="P445" s="3">
        <v>1</v>
      </c>
      <c r="Q445" s="3">
        <v>0</v>
      </c>
      <c r="R445" s="3">
        <v>2</v>
      </c>
      <c r="S445" s="2">
        <f t="shared" si="14"/>
        <v>249</v>
      </c>
      <c r="T445" s="4">
        <f t="shared" si="15"/>
        <v>2086.7751004016063</v>
      </c>
    </row>
    <row r="446" spans="1:20" hidden="1" x14ac:dyDescent="0.3">
      <c r="A446">
        <v>353870910000013</v>
      </c>
      <c r="B446" t="s">
        <v>217</v>
      </c>
      <c r="C446" t="s">
        <v>218</v>
      </c>
      <c r="D446">
        <v>3</v>
      </c>
      <c r="E446">
        <v>0</v>
      </c>
      <c r="F446" s="1">
        <v>104075</v>
      </c>
      <c r="G446" s="1">
        <v>104075</v>
      </c>
      <c r="H446" s="1">
        <v>0</v>
      </c>
      <c r="I446" s="3">
        <v>0</v>
      </c>
      <c r="J446" s="3">
        <v>0</v>
      </c>
      <c r="K446" s="3">
        <v>2</v>
      </c>
      <c r="L446" s="3">
        <v>16</v>
      </c>
      <c r="M446" s="3">
        <v>15</v>
      </c>
      <c r="N446" s="3">
        <v>8</v>
      </c>
      <c r="O446" s="3">
        <v>6</v>
      </c>
      <c r="P446" s="3">
        <v>0</v>
      </c>
      <c r="Q446" s="3">
        <v>0</v>
      </c>
      <c r="R446" s="3">
        <v>3</v>
      </c>
      <c r="S446" s="2">
        <f t="shared" si="14"/>
        <v>50</v>
      </c>
      <c r="T446" s="4">
        <f t="shared" si="15"/>
        <v>2081.5</v>
      </c>
    </row>
    <row r="447" spans="1:20" hidden="1" x14ac:dyDescent="0.3">
      <c r="A447">
        <v>353870905000536</v>
      </c>
      <c r="B447" t="s">
        <v>217</v>
      </c>
      <c r="C447" t="s">
        <v>182</v>
      </c>
      <c r="D447">
        <v>2</v>
      </c>
      <c r="E447">
        <v>0</v>
      </c>
      <c r="F447" s="1">
        <v>45580</v>
      </c>
      <c r="G447" s="1">
        <v>45580</v>
      </c>
      <c r="H447" s="1">
        <v>0</v>
      </c>
      <c r="I447" s="3">
        <v>0</v>
      </c>
      <c r="J447" s="3">
        <v>0</v>
      </c>
      <c r="K447" s="3">
        <v>2</v>
      </c>
      <c r="L447" s="3">
        <v>11</v>
      </c>
      <c r="M447" s="3">
        <v>4</v>
      </c>
      <c r="N447" s="3">
        <v>3</v>
      </c>
      <c r="O447" s="3">
        <v>1</v>
      </c>
      <c r="P447" s="3">
        <v>0</v>
      </c>
      <c r="Q447" s="3">
        <v>0</v>
      </c>
      <c r="R447" s="3">
        <v>1</v>
      </c>
      <c r="S447" s="2">
        <f t="shared" si="14"/>
        <v>22</v>
      </c>
      <c r="T447" s="4">
        <f t="shared" si="15"/>
        <v>2071.818181818182</v>
      </c>
    </row>
    <row r="448" spans="1:20" hidden="1" x14ac:dyDescent="0.3">
      <c r="A448">
        <v>353870905000428</v>
      </c>
      <c r="B448" t="s">
        <v>217</v>
      </c>
      <c r="C448" t="s">
        <v>159</v>
      </c>
      <c r="D448">
        <v>1</v>
      </c>
      <c r="E448">
        <v>0</v>
      </c>
      <c r="F448" s="1">
        <v>384981</v>
      </c>
      <c r="G448" s="1">
        <v>384981</v>
      </c>
      <c r="H448" s="1">
        <v>0</v>
      </c>
      <c r="I448" s="3">
        <v>0</v>
      </c>
      <c r="J448" s="3">
        <v>3</v>
      </c>
      <c r="K448" s="3">
        <v>9</v>
      </c>
      <c r="L448" s="3">
        <v>48</v>
      </c>
      <c r="M448" s="3">
        <v>83</v>
      </c>
      <c r="N448" s="3">
        <v>23</v>
      </c>
      <c r="O448" s="3">
        <v>6</v>
      </c>
      <c r="P448" s="3">
        <v>2</v>
      </c>
      <c r="Q448" s="3">
        <v>0</v>
      </c>
      <c r="R448" s="3">
        <v>12</v>
      </c>
      <c r="S448" s="2">
        <f t="shared" si="14"/>
        <v>186</v>
      </c>
      <c r="T448" s="4">
        <f t="shared" si="15"/>
        <v>2069.7903225806454</v>
      </c>
    </row>
    <row r="449" spans="1:20" hidden="1" x14ac:dyDescent="0.3">
      <c r="A449">
        <v>353870905000248</v>
      </c>
      <c r="B449" t="s">
        <v>217</v>
      </c>
      <c r="C449" t="s">
        <v>116</v>
      </c>
      <c r="D449">
        <v>1</v>
      </c>
      <c r="E449">
        <v>0</v>
      </c>
      <c r="F449" s="1">
        <v>355225</v>
      </c>
      <c r="G449" s="1">
        <v>355225</v>
      </c>
      <c r="H449" s="1">
        <v>0</v>
      </c>
      <c r="I449" s="3">
        <v>0</v>
      </c>
      <c r="J449" s="3">
        <v>3</v>
      </c>
      <c r="K449" s="3">
        <v>12</v>
      </c>
      <c r="L449" s="3">
        <v>49</v>
      </c>
      <c r="M449" s="3">
        <v>71</v>
      </c>
      <c r="N449" s="3">
        <v>24</v>
      </c>
      <c r="O449" s="3">
        <v>9</v>
      </c>
      <c r="P449" s="3">
        <v>1</v>
      </c>
      <c r="Q449" s="3">
        <v>0</v>
      </c>
      <c r="R449" s="3">
        <v>3</v>
      </c>
      <c r="S449" s="2">
        <f t="shared" si="14"/>
        <v>172</v>
      </c>
      <c r="T449" s="4">
        <f t="shared" si="15"/>
        <v>2065.2616279069766</v>
      </c>
    </row>
    <row r="450" spans="1:20" hidden="1" x14ac:dyDescent="0.3">
      <c r="A450">
        <v>353870935000084</v>
      </c>
      <c r="B450" t="s">
        <v>217</v>
      </c>
      <c r="C450" t="s">
        <v>161</v>
      </c>
      <c r="D450">
        <v>1</v>
      </c>
      <c r="E450">
        <v>0</v>
      </c>
      <c r="F450" s="1">
        <v>482934</v>
      </c>
      <c r="G450" s="1">
        <v>482934</v>
      </c>
      <c r="H450" s="1">
        <v>0</v>
      </c>
      <c r="I450" s="3">
        <v>0</v>
      </c>
      <c r="J450" s="3">
        <v>0</v>
      </c>
      <c r="K450" s="3">
        <v>8</v>
      </c>
      <c r="L450" s="3">
        <v>45</v>
      </c>
      <c r="M450" s="3">
        <v>99</v>
      </c>
      <c r="N450" s="3">
        <v>48</v>
      </c>
      <c r="O450" s="3">
        <v>27</v>
      </c>
      <c r="P450" s="3">
        <v>4</v>
      </c>
      <c r="Q450" s="3">
        <v>0</v>
      </c>
      <c r="R450" s="3">
        <v>3</v>
      </c>
      <c r="S450" s="2">
        <f t="shared" si="14"/>
        <v>234</v>
      </c>
      <c r="T450" s="4">
        <f t="shared" si="15"/>
        <v>2063.8205128205127</v>
      </c>
    </row>
    <row r="451" spans="1:20" hidden="1" x14ac:dyDescent="0.3">
      <c r="A451">
        <v>353870905000265</v>
      </c>
      <c r="B451" t="s">
        <v>217</v>
      </c>
      <c r="C451" t="s">
        <v>135</v>
      </c>
      <c r="D451">
        <v>1</v>
      </c>
      <c r="E451">
        <v>0</v>
      </c>
      <c r="F451" s="1">
        <v>335043</v>
      </c>
      <c r="G451" s="1">
        <v>335043</v>
      </c>
      <c r="H451" s="1">
        <v>0</v>
      </c>
      <c r="I451" s="3">
        <v>0</v>
      </c>
      <c r="J451" s="3">
        <v>2</v>
      </c>
      <c r="K451" s="3">
        <v>13</v>
      </c>
      <c r="L451" s="3">
        <v>53</v>
      </c>
      <c r="M451" s="3">
        <v>59</v>
      </c>
      <c r="N451" s="3">
        <v>22</v>
      </c>
      <c r="O451" s="3">
        <v>7</v>
      </c>
      <c r="P451" s="3">
        <v>2</v>
      </c>
      <c r="Q451" s="3">
        <v>1</v>
      </c>
      <c r="R451" s="3">
        <v>4</v>
      </c>
      <c r="S451" s="2">
        <f t="shared" ref="S451:S514" si="16">SUM(I451:R451)</f>
        <v>163</v>
      </c>
      <c r="T451" s="4">
        <f t="shared" ref="T451:T514" si="17">F451/S451</f>
        <v>2055.4785276073621</v>
      </c>
    </row>
    <row r="452" spans="1:20" hidden="1" x14ac:dyDescent="0.3">
      <c r="A452">
        <v>353870935000060</v>
      </c>
      <c r="B452" t="s">
        <v>217</v>
      </c>
      <c r="C452" t="s">
        <v>147</v>
      </c>
      <c r="D452">
        <v>1</v>
      </c>
      <c r="E452">
        <v>1</v>
      </c>
      <c r="F452" s="1">
        <v>374059</v>
      </c>
      <c r="G452" s="1">
        <v>373659</v>
      </c>
      <c r="H452" s="1">
        <v>400</v>
      </c>
      <c r="I452" s="3">
        <v>1</v>
      </c>
      <c r="J452" s="3">
        <v>1</v>
      </c>
      <c r="K452" s="3">
        <v>21</v>
      </c>
      <c r="L452" s="3">
        <v>52</v>
      </c>
      <c r="M452" s="3">
        <v>81</v>
      </c>
      <c r="N452" s="3">
        <v>14</v>
      </c>
      <c r="O452" s="3">
        <v>8</v>
      </c>
      <c r="P452" s="3">
        <v>2</v>
      </c>
      <c r="Q452" s="3">
        <v>0</v>
      </c>
      <c r="R452" s="3">
        <v>2</v>
      </c>
      <c r="S452" s="2">
        <f t="shared" si="16"/>
        <v>182</v>
      </c>
      <c r="T452" s="4">
        <f t="shared" si="17"/>
        <v>2055.2692307692309</v>
      </c>
    </row>
    <row r="453" spans="1:20" hidden="1" x14ac:dyDescent="0.3">
      <c r="A453">
        <v>353870905000420</v>
      </c>
      <c r="B453" t="s">
        <v>217</v>
      </c>
      <c r="C453" t="s">
        <v>102</v>
      </c>
      <c r="D453">
        <v>1</v>
      </c>
      <c r="E453">
        <v>0</v>
      </c>
      <c r="F453" s="1">
        <v>722603</v>
      </c>
      <c r="G453" s="1">
        <v>722603</v>
      </c>
      <c r="H453" s="1">
        <v>0</v>
      </c>
      <c r="I453" s="3">
        <v>4</v>
      </c>
      <c r="J453" s="3">
        <v>6</v>
      </c>
      <c r="K453" s="3">
        <v>38</v>
      </c>
      <c r="L453" s="3">
        <v>120</v>
      </c>
      <c r="M453" s="3">
        <v>133</v>
      </c>
      <c r="N453" s="3">
        <v>29</v>
      </c>
      <c r="O453" s="3">
        <v>13</v>
      </c>
      <c r="P453" s="3">
        <v>3</v>
      </c>
      <c r="Q453" s="3">
        <v>0</v>
      </c>
      <c r="R453" s="3">
        <v>6</v>
      </c>
      <c r="S453" s="2">
        <f t="shared" si="16"/>
        <v>352</v>
      </c>
      <c r="T453" s="4">
        <f t="shared" si="17"/>
        <v>2052.849431818182</v>
      </c>
    </row>
    <row r="454" spans="1:20" hidden="1" x14ac:dyDescent="0.3">
      <c r="A454">
        <v>353870935000011</v>
      </c>
      <c r="B454" t="s">
        <v>217</v>
      </c>
      <c r="C454" t="s">
        <v>170</v>
      </c>
      <c r="D454">
        <v>1</v>
      </c>
      <c r="E454">
        <v>0</v>
      </c>
      <c r="F454" s="1">
        <v>358375</v>
      </c>
      <c r="G454" s="1">
        <v>358375</v>
      </c>
      <c r="H454" s="1">
        <v>0</v>
      </c>
      <c r="I454" s="3">
        <v>0</v>
      </c>
      <c r="J454" s="3">
        <v>3</v>
      </c>
      <c r="K454" s="3">
        <v>17</v>
      </c>
      <c r="L454" s="3">
        <v>67</v>
      </c>
      <c r="M454" s="3">
        <v>60</v>
      </c>
      <c r="N454" s="3">
        <v>15</v>
      </c>
      <c r="O454" s="3">
        <v>9</v>
      </c>
      <c r="P454" s="3">
        <v>1</v>
      </c>
      <c r="Q454" s="3">
        <v>0</v>
      </c>
      <c r="R454" s="3">
        <v>3</v>
      </c>
      <c r="S454" s="2">
        <f t="shared" si="16"/>
        <v>175</v>
      </c>
      <c r="T454" s="4">
        <f t="shared" si="17"/>
        <v>2047.8571428571429</v>
      </c>
    </row>
    <row r="455" spans="1:20" hidden="1" x14ac:dyDescent="0.3">
      <c r="A455">
        <v>353870905000168</v>
      </c>
      <c r="B455" t="s">
        <v>217</v>
      </c>
      <c r="C455" t="s">
        <v>135</v>
      </c>
      <c r="D455">
        <v>1</v>
      </c>
      <c r="E455">
        <v>0</v>
      </c>
      <c r="F455" s="1">
        <v>395153</v>
      </c>
      <c r="G455" s="1">
        <v>395153</v>
      </c>
      <c r="H455" s="1">
        <v>0</v>
      </c>
      <c r="I455" s="3">
        <v>1</v>
      </c>
      <c r="J455" s="3">
        <v>5</v>
      </c>
      <c r="K455" s="3">
        <v>23</v>
      </c>
      <c r="L455" s="3">
        <v>47</v>
      </c>
      <c r="M455" s="3">
        <v>74</v>
      </c>
      <c r="N455" s="3">
        <v>28</v>
      </c>
      <c r="O455" s="3">
        <v>7</v>
      </c>
      <c r="P455" s="3">
        <v>3</v>
      </c>
      <c r="Q455" s="3">
        <v>0</v>
      </c>
      <c r="R455" s="3">
        <v>5</v>
      </c>
      <c r="S455" s="2">
        <f t="shared" si="16"/>
        <v>193</v>
      </c>
      <c r="T455" s="4">
        <f t="shared" si="17"/>
        <v>2047.4248704663212</v>
      </c>
    </row>
    <row r="456" spans="1:20" hidden="1" x14ac:dyDescent="0.3">
      <c r="A456">
        <v>353870905000360</v>
      </c>
      <c r="B456" t="s">
        <v>217</v>
      </c>
      <c r="C456" t="s">
        <v>176</v>
      </c>
      <c r="D456">
        <v>1</v>
      </c>
      <c r="E456">
        <v>0</v>
      </c>
      <c r="F456" s="1">
        <v>437833</v>
      </c>
      <c r="G456" s="1">
        <v>437833</v>
      </c>
      <c r="H456" s="1">
        <v>0</v>
      </c>
      <c r="I456" s="3">
        <v>0</v>
      </c>
      <c r="J456" s="3">
        <v>2</v>
      </c>
      <c r="K456" s="3">
        <v>20</v>
      </c>
      <c r="L456" s="3">
        <v>91</v>
      </c>
      <c r="M456" s="3">
        <v>74</v>
      </c>
      <c r="N456" s="3">
        <v>20</v>
      </c>
      <c r="O456" s="3">
        <v>5</v>
      </c>
      <c r="P456" s="3">
        <v>2</v>
      </c>
      <c r="Q456" s="3">
        <v>0</v>
      </c>
      <c r="R456" s="3">
        <v>0</v>
      </c>
      <c r="S456" s="2">
        <f t="shared" si="16"/>
        <v>214</v>
      </c>
      <c r="T456" s="4">
        <f t="shared" si="17"/>
        <v>2045.9485981308412</v>
      </c>
    </row>
    <row r="457" spans="1:20" hidden="1" x14ac:dyDescent="0.3">
      <c r="A457">
        <v>353870905000293</v>
      </c>
      <c r="B457" t="s">
        <v>217</v>
      </c>
      <c r="C457" t="s">
        <v>185</v>
      </c>
      <c r="D457">
        <v>1</v>
      </c>
      <c r="E457">
        <v>0</v>
      </c>
      <c r="F457" s="1">
        <v>924021</v>
      </c>
      <c r="G457" s="1">
        <v>924021</v>
      </c>
      <c r="H457" s="1">
        <v>0</v>
      </c>
      <c r="I457" s="3">
        <v>4</v>
      </c>
      <c r="J457" s="3">
        <v>19</v>
      </c>
      <c r="K457" s="3">
        <v>57</v>
      </c>
      <c r="L457" s="3">
        <v>133</v>
      </c>
      <c r="M457" s="3">
        <v>178</v>
      </c>
      <c r="N457" s="3">
        <v>34</v>
      </c>
      <c r="O457" s="3">
        <v>15</v>
      </c>
      <c r="P457" s="3">
        <v>3</v>
      </c>
      <c r="Q457" s="3">
        <v>0</v>
      </c>
      <c r="R457" s="3">
        <v>9</v>
      </c>
      <c r="S457" s="2">
        <f t="shared" si="16"/>
        <v>452</v>
      </c>
      <c r="T457" s="4">
        <f t="shared" si="17"/>
        <v>2044.2942477876106</v>
      </c>
    </row>
    <row r="458" spans="1:20" hidden="1" x14ac:dyDescent="0.3">
      <c r="A458">
        <v>353870905000433</v>
      </c>
      <c r="B458" t="s">
        <v>217</v>
      </c>
      <c r="C458" t="s">
        <v>159</v>
      </c>
      <c r="D458">
        <v>1</v>
      </c>
      <c r="E458">
        <v>0</v>
      </c>
      <c r="F458" s="1">
        <v>398619</v>
      </c>
      <c r="G458" s="1">
        <v>398619</v>
      </c>
      <c r="H458" s="1">
        <v>0</v>
      </c>
      <c r="I458" s="3">
        <v>0</v>
      </c>
      <c r="J458" s="3">
        <v>7</v>
      </c>
      <c r="K458" s="3">
        <v>18</v>
      </c>
      <c r="L458" s="3">
        <v>60</v>
      </c>
      <c r="M458" s="3">
        <v>80</v>
      </c>
      <c r="N458" s="3">
        <v>18</v>
      </c>
      <c r="O458" s="3">
        <v>5</v>
      </c>
      <c r="P458" s="3">
        <v>4</v>
      </c>
      <c r="Q458" s="3">
        <v>0</v>
      </c>
      <c r="R458" s="3">
        <v>3</v>
      </c>
      <c r="S458" s="2">
        <f t="shared" si="16"/>
        <v>195</v>
      </c>
      <c r="T458" s="4">
        <f t="shared" si="17"/>
        <v>2044.2</v>
      </c>
    </row>
    <row r="459" spans="1:20" hidden="1" x14ac:dyDescent="0.3">
      <c r="A459">
        <v>353870905000523</v>
      </c>
      <c r="B459" t="s">
        <v>217</v>
      </c>
      <c r="C459" t="s">
        <v>179</v>
      </c>
      <c r="D459">
        <v>1</v>
      </c>
      <c r="E459">
        <v>0</v>
      </c>
      <c r="F459" s="1">
        <v>79558</v>
      </c>
      <c r="G459" s="1">
        <v>79558</v>
      </c>
      <c r="H459" s="1">
        <v>0</v>
      </c>
      <c r="I459" s="3">
        <v>0</v>
      </c>
      <c r="J459" s="3">
        <v>4</v>
      </c>
      <c r="K459" s="3">
        <v>5</v>
      </c>
      <c r="L459" s="3">
        <v>11</v>
      </c>
      <c r="M459" s="3">
        <v>14</v>
      </c>
      <c r="N459" s="3">
        <v>2</v>
      </c>
      <c r="O459" s="3">
        <v>0</v>
      </c>
      <c r="P459" s="3">
        <v>0</v>
      </c>
      <c r="Q459" s="3">
        <v>0</v>
      </c>
      <c r="R459" s="3">
        <v>3</v>
      </c>
      <c r="S459" s="2">
        <f t="shared" si="16"/>
        <v>39</v>
      </c>
      <c r="T459" s="4">
        <f t="shared" si="17"/>
        <v>2039.948717948718</v>
      </c>
    </row>
    <row r="460" spans="1:20" hidden="1" x14ac:dyDescent="0.3">
      <c r="A460">
        <v>353870905000524</v>
      </c>
      <c r="B460" t="s">
        <v>217</v>
      </c>
      <c r="C460" t="s">
        <v>173</v>
      </c>
      <c r="D460">
        <v>1</v>
      </c>
      <c r="E460">
        <v>0</v>
      </c>
      <c r="F460" s="1">
        <v>329694</v>
      </c>
      <c r="G460" s="1">
        <v>329694</v>
      </c>
      <c r="H460" s="1">
        <v>0</v>
      </c>
      <c r="I460" s="3">
        <v>0</v>
      </c>
      <c r="J460" s="3">
        <v>4</v>
      </c>
      <c r="K460" s="3">
        <v>18</v>
      </c>
      <c r="L460" s="3">
        <v>56</v>
      </c>
      <c r="M460" s="3">
        <v>61</v>
      </c>
      <c r="N460" s="3">
        <v>14</v>
      </c>
      <c r="O460" s="3">
        <v>8</v>
      </c>
      <c r="P460" s="3">
        <v>1</v>
      </c>
      <c r="Q460" s="3">
        <v>0</v>
      </c>
      <c r="R460" s="3">
        <v>0</v>
      </c>
      <c r="S460" s="2">
        <f t="shared" si="16"/>
        <v>162</v>
      </c>
      <c r="T460" s="4">
        <f t="shared" si="17"/>
        <v>2035.148148148148</v>
      </c>
    </row>
    <row r="461" spans="1:20" hidden="1" x14ac:dyDescent="0.3">
      <c r="A461">
        <v>353870935000046</v>
      </c>
      <c r="B461" t="s">
        <v>217</v>
      </c>
      <c r="C461" t="s">
        <v>170</v>
      </c>
      <c r="D461">
        <v>1</v>
      </c>
      <c r="E461">
        <v>1</v>
      </c>
      <c r="F461" s="1">
        <v>374108</v>
      </c>
      <c r="G461" s="1">
        <v>372414</v>
      </c>
      <c r="H461" s="1">
        <v>1694</v>
      </c>
      <c r="I461" s="3">
        <v>3</v>
      </c>
      <c r="J461" s="3">
        <v>2</v>
      </c>
      <c r="K461" s="3">
        <v>18</v>
      </c>
      <c r="L461" s="3">
        <v>48</v>
      </c>
      <c r="M461" s="3">
        <v>61</v>
      </c>
      <c r="N461" s="3">
        <v>21</v>
      </c>
      <c r="O461" s="3">
        <v>14</v>
      </c>
      <c r="P461" s="3">
        <v>0</v>
      </c>
      <c r="Q461" s="3">
        <v>0</v>
      </c>
      <c r="R461" s="3">
        <v>17</v>
      </c>
      <c r="S461" s="2">
        <f t="shared" si="16"/>
        <v>184</v>
      </c>
      <c r="T461" s="4">
        <f t="shared" si="17"/>
        <v>2033.195652173913</v>
      </c>
    </row>
    <row r="462" spans="1:20" hidden="1" x14ac:dyDescent="0.3">
      <c r="A462">
        <v>353870910000011</v>
      </c>
      <c r="B462" t="s">
        <v>217</v>
      </c>
      <c r="C462" t="s">
        <v>218</v>
      </c>
      <c r="D462">
        <v>1</v>
      </c>
      <c r="E462">
        <v>0</v>
      </c>
      <c r="F462" s="1">
        <v>263329</v>
      </c>
      <c r="G462" s="1">
        <v>263329</v>
      </c>
      <c r="H462" s="1">
        <v>0</v>
      </c>
      <c r="I462" s="3">
        <v>0</v>
      </c>
      <c r="J462" s="3">
        <v>5</v>
      </c>
      <c r="K462" s="3">
        <v>14</v>
      </c>
      <c r="L462" s="3">
        <v>47</v>
      </c>
      <c r="M462" s="3">
        <v>41</v>
      </c>
      <c r="N462" s="3">
        <v>11</v>
      </c>
      <c r="O462" s="3">
        <v>5</v>
      </c>
      <c r="P462" s="3">
        <v>5</v>
      </c>
      <c r="Q462" s="3">
        <v>0</v>
      </c>
      <c r="R462" s="3">
        <v>2</v>
      </c>
      <c r="S462" s="2">
        <f t="shared" si="16"/>
        <v>130</v>
      </c>
      <c r="T462" s="4">
        <f t="shared" si="17"/>
        <v>2025.6076923076923</v>
      </c>
    </row>
    <row r="463" spans="1:20" hidden="1" x14ac:dyDescent="0.3">
      <c r="A463">
        <v>353870935000041</v>
      </c>
      <c r="B463" t="s">
        <v>217</v>
      </c>
      <c r="C463" t="s">
        <v>170</v>
      </c>
      <c r="D463">
        <v>1</v>
      </c>
      <c r="E463">
        <v>0</v>
      </c>
      <c r="F463" s="1">
        <v>366206</v>
      </c>
      <c r="G463" s="1">
        <v>366206</v>
      </c>
      <c r="H463" s="1">
        <v>0</v>
      </c>
      <c r="I463" s="3">
        <v>0</v>
      </c>
      <c r="J463" s="3">
        <v>5</v>
      </c>
      <c r="K463" s="3">
        <v>24</v>
      </c>
      <c r="L463" s="3">
        <v>58</v>
      </c>
      <c r="M463" s="3">
        <v>78</v>
      </c>
      <c r="N463" s="3">
        <v>13</v>
      </c>
      <c r="O463" s="3">
        <v>1</v>
      </c>
      <c r="P463" s="3">
        <v>1</v>
      </c>
      <c r="Q463" s="3">
        <v>0</v>
      </c>
      <c r="R463" s="3">
        <v>1</v>
      </c>
      <c r="S463" s="2">
        <f t="shared" si="16"/>
        <v>181</v>
      </c>
      <c r="T463" s="4">
        <f t="shared" si="17"/>
        <v>2023.2375690607735</v>
      </c>
    </row>
    <row r="464" spans="1:20" hidden="1" x14ac:dyDescent="0.3">
      <c r="A464">
        <v>353870905000176</v>
      </c>
      <c r="B464" t="s">
        <v>217</v>
      </c>
      <c r="C464" t="s">
        <v>145</v>
      </c>
      <c r="D464">
        <v>1</v>
      </c>
      <c r="E464">
        <v>0</v>
      </c>
      <c r="F464" s="1">
        <v>339550</v>
      </c>
      <c r="G464" s="1">
        <v>339550</v>
      </c>
      <c r="H464" s="1">
        <v>0</v>
      </c>
      <c r="I464" s="3">
        <v>0</v>
      </c>
      <c r="J464" s="3">
        <v>2</v>
      </c>
      <c r="K464" s="3">
        <v>11</v>
      </c>
      <c r="L464" s="3">
        <v>46</v>
      </c>
      <c r="M464" s="3">
        <v>69</v>
      </c>
      <c r="N464" s="3">
        <v>28</v>
      </c>
      <c r="O464" s="3">
        <v>7</v>
      </c>
      <c r="P464" s="3">
        <v>2</v>
      </c>
      <c r="Q464" s="3">
        <v>0</v>
      </c>
      <c r="R464" s="3">
        <v>3</v>
      </c>
      <c r="S464" s="2">
        <f t="shared" si="16"/>
        <v>168</v>
      </c>
      <c r="T464" s="4">
        <f t="shared" si="17"/>
        <v>2021.1309523809523</v>
      </c>
    </row>
    <row r="465" spans="1:20" hidden="1" x14ac:dyDescent="0.3">
      <c r="A465">
        <v>353870910000012</v>
      </c>
      <c r="B465" t="s">
        <v>217</v>
      </c>
      <c r="C465" t="s">
        <v>218</v>
      </c>
      <c r="D465">
        <v>7</v>
      </c>
      <c r="E465">
        <v>0</v>
      </c>
      <c r="F465" s="1">
        <v>183705</v>
      </c>
      <c r="G465" s="1">
        <v>183705</v>
      </c>
      <c r="H465" s="1">
        <v>0</v>
      </c>
      <c r="I465" s="3">
        <v>0</v>
      </c>
      <c r="J465" s="3">
        <v>2</v>
      </c>
      <c r="K465" s="3">
        <v>15</v>
      </c>
      <c r="L465" s="3">
        <v>26</v>
      </c>
      <c r="M465" s="3">
        <v>34</v>
      </c>
      <c r="N465" s="3">
        <v>5</v>
      </c>
      <c r="O465" s="3">
        <v>5</v>
      </c>
      <c r="P465" s="3">
        <v>2</v>
      </c>
      <c r="Q465" s="3">
        <v>0</v>
      </c>
      <c r="R465" s="3">
        <v>2</v>
      </c>
      <c r="S465" s="2">
        <f t="shared" si="16"/>
        <v>91</v>
      </c>
      <c r="T465" s="4">
        <f t="shared" si="17"/>
        <v>2018.7362637362637</v>
      </c>
    </row>
    <row r="466" spans="1:20" hidden="1" x14ac:dyDescent="0.3">
      <c r="A466">
        <v>353870910000014</v>
      </c>
      <c r="B466" t="s">
        <v>217</v>
      </c>
      <c r="C466" t="s">
        <v>218</v>
      </c>
      <c r="D466">
        <v>4</v>
      </c>
      <c r="E466">
        <v>0</v>
      </c>
      <c r="F466" s="1">
        <v>20160</v>
      </c>
      <c r="G466" s="1">
        <v>20160</v>
      </c>
      <c r="H466" s="1">
        <v>0</v>
      </c>
      <c r="I466" s="3">
        <v>0</v>
      </c>
      <c r="J466" s="3">
        <v>0</v>
      </c>
      <c r="K466" s="3">
        <v>2</v>
      </c>
      <c r="L466" s="3">
        <v>4</v>
      </c>
      <c r="M466" s="3">
        <v>1</v>
      </c>
      <c r="N466" s="3">
        <v>0</v>
      </c>
      <c r="O466" s="3">
        <v>3</v>
      </c>
      <c r="P466" s="3">
        <v>0</v>
      </c>
      <c r="Q466" s="3">
        <v>0</v>
      </c>
      <c r="R466" s="3">
        <v>0</v>
      </c>
      <c r="S466" s="2">
        <f t="shared" si="16"/>
        <v>10</v>
      </c>
      <c r="T466" s="4">
        <f t="shared" si="17"/>
        <v>2016</v>
      </c>
    </row>
    <row r="467" spans="1:20" hidden="1" x14ac:dyDescent="0.3">
      <c r="A467">
        <v>353870905000259</v>
      </c>
      <c r="B467" t="s">
        <v>217</v>
      </c>
      <c r="C467" t="s">
        <v>135</v>
      </c>
      <c r="D467">
        <v>1</v>
      </c>
      <c r="E467">
        <v>0</v>
      </c>
      <c r="F467" s="1">
        <v>499929</v>
      </c>
      <c r="G467" s="1">
        <v>499929</v>
      </c>
      <c r="H467" s="1">
        <v>0</v>
      </c>
      <c r="I467" s="3">
        <v>0</v>
      </c>
      <c r="J467" s="3">
        <v>4</v>
      </c>
      <c r="K467" s="3">
        <v>19</v>
      </c>
      <c r="L467" s="3">
        <v>72</v>
      </c>
      <c r="M467" s="3">
        <v>105</v>
      </c>
      <c r="N467" s="3">
        <v>29</v>
      </c>
      <c r="O467" s="3">
        <v>10</v>
      </c>
      <c r="P467" s="3">
        <v>9</v>
      </c>
      <c r="Q467" s="3">
        <v>0</v>
      </c>
      <c r="R467" s="3">
        <v>0</v>
      </c>
      <c r="S467" s="2">
        <f t="shared" si="16"/>
        <v>248</v>
      </c>
      <c r="T467" s="4">
        <f t="shared" si="17"/>
        <v>2015.8427419354839</v>
      </c>
    </row>
    <row r="468" spans="1:20" hidden="1" x14ac:dyDescent="0.3">
      <c r="A468">
        <v>353870905000343</v>
      </c>
      <c r="B468" t="s">
        <v>217</v>
      </c>
      <c r="C468" t="s">
        <v>179</v>
      </c>
      <c r="D468">
        <v>1</v>
      </c>
      <c r="E468">
        <v>0</v>
      </c>
      <c r="F468" s="1">
        <v>413207</v>
      </c>
      <c r="G468" s="1">
        <v>413207</v>
      </c>
      <c r="H468" s="1">
        <v>0</v>
      </c>
      <c r="I468" s="3">
        <v>0</v>
      </c>
      <c r="J468" s="3">
        <v>3</v>
      </c>
      <c r="K468" s="3">
        <v>25</v>
      </c>
      <c r="L468" s="3">
        <v>71</v>
      </c>
      <c r="M468" s="3">
        <v>79</v>
      </c>
      <c r="N468" s="3">
        <v>15</v>
      </c>
      <c r="O468" s="3">
        <v>8</v>
      </c>
      <c r="P468" s="3">
        <v>1</v>
      </c>
      <c r="Q468" s="3">
        <v>0</v>
      </c>
      <c r="R468" s="3">
        <v>3</v>
      </c>
      <c r="S468" s="2">
        <f t="shared" si="16"/>
        <v>205</v>
      </c>
      <c r="T468" s="4">
        <f t="shared" si="17"/>
        <v>2015.6439024390245</v>
      </c>
    </row>
    <row r="469" spans="1:20" hidden="1" x14ac:dyDescent="0.3">
      <c r="A469">
        <v>353870905000213</v>
      </c>
      <c r="B469" t="s">
        <v>217</v>
      </c>
      <c r="C469" t="s">
        <v>167</v>
      </c>
      <c r="D469">
        <v>1</v>
      </c>
      <c r="E469">
        <v>0</v>
      </c>
      <c r="F469" s="1">
        <v>366520</v>
      </c>
      <c r="G469" s="1">
        <v>366520</v>
      </c>
      <c r="H469" s="1">
        <v>0</v>
      </c>
      <c r="I469" s="3">
        <v>0</v>
      </c>
      <c r="J469" s="3">
        <v>6</v>
      </c>
      <c r="K469" s="3">
        <v>15</v>
      </c>
      <c r="L469" s="3">
        <v>39</v>
      </c>
      <c r="M469" s="3">
        <v>59</v>
      </c>
      <c r="N469" s="3">
        <v>21</v>
      </c>
      <c r="O469" s="3">
        <v>12</v>
      </c>
      <c r="P469" s="3">
        <v>1</v>
      </c>
      <c r="Q469" s="3">
        <v>0</v>
      </c>
      <c r="R469" s="3">
        <v>29</v>
      </c>
      <c r="S469" s="2">
        <f t="shared" si="16"/>
        <v>182</v>
      </c>
      <c r="T469" s="4">
        <f t="shared" si="17"/>
        <v>2013.8461538461538</v>
      </c>
    </row>
    <row r="470" spans="1:20" hidden="1" x14ac:dyDescent="0.3">
      <c r="A470">
        <v>353870905000250</v>
      </c>
      <c r="B470" t="s">
        <v>217</v>
      </c>
      <c r="C470" t="s">
        <v>116</v>
      </c>
      <c r="D470">
        <v>1</v>
      </c>
      <c r="E470">
        <v>0</v>
      </c>
      <c r="F470" s="1">
        <v>317916</v>
      </c>
      <c r="G470" s="1">
        <v>317916</v>
      </c>
      <c r="H470" s="1">
        <v>0</v>
      </c>
      <c r="I470" s="3">
        <v>0</v>
      </c>
      <c r="J470" s="3">
        <v>4</v>
      </c>
      <c r="K470" s="3">
        <v>13</v>
      </c>
      <c r="L470" s="3">
        <v>54</v>
      </c>
      <c r="M470" s="3">
        <v>64</v>
      </c>
      <c r="N470" s="3">
        <v>15</v>
      </c>
      <c r="O470" s="3">
        <v>6</v>
      </c>
      <c r="P470" s="3">
        <v>1</v>
      </c>
      <c r="Q470" s="3">
        <v>0</v>
      </c>
      <c r="R470" s="3">
        <v>1</v>
      </c>
      <c r="S470" s="2">
        <f t="shared" si="16"/>
        <v>158</v>
      </c>
      <c r="T470" s="4">
        <f t="shared" si="17"/>
        <v>2012.126582278481</v>
      </c>
    </row>
    <row r="471" spans="1:20" hidden="1" x14ac:dyDescent="0.3">
      <c r="A471">
        <v>353870905000378</v>
      </c>
      <c r="B471" t="s">
        <v>217</v>
      </c>
      <c r="C471" t="s">
        <v>119</v>
      </c>
      <c r="D471">
        <v>2</v>
      </c>
      <c r="E471">
        <v>0</v>
      </c>
      <c r="F471" s="1">
        <v>384207</v>
      </c>
      <c r="G471" s="1">
        <v>384207</v>
      </c>
      <c r="H471" s="1">
        <v>0</v>
      </c>
      <c r="I471" s="3">
        <v>1</v>
      </c>
      <c r="J471" s="3">
        <v>3</v>
      </c>
      <c r="K471" s="3">
        <v>26</v>
      </c>
      <c r="L471" s="3">
        <v>60</v>
      </c>
      <c r="M471" s="3">
        <v>74</v>
      </c>
      <c r="N471" s="3">
        <v>21</v>
      </c>
      <c r="O471" s="3">
        <v>4</v>
      </c>
      <c r="P471" s="3">
        <v>1</v>
      </c>
      <c r="Q471" s="3">
        <v>0</v>
      </c>
      <c r="R471" s="3">
        <v>1</v>
      </c>
      <c r="S471" s="2">
        <f t="shared" si="16"/>
        <v>191</v>
      </c>
      <c r="T471" s="4">
        <f t="shared" si="17"/>
        <v>2011.5549738219895</v>
      </c>
    </row>
    <row r="472" spans="1:20" hidden="1" x14ac:dyDescent="0.3">
      <c r="A472">
        <v>353870935000018</v>
      </c>
      <c r="B472" t="s">
        <v>217</v>
      </c>
      <c r="C472" t="s">
        <v>147</v>
      </c>
      <c r="D472">
        <v>1</v>
      </c>
      <c r="E472">
        <v>0</v>
      </c>
      <c r="F472" s="1">
        <v>305614</v>
      </c>
      <c r="G472" s="1">
        <v>305614</v>
      </c>
      <c r="H472" s="1">
        <v>0</v>
      </c>
      <c r="I472" s="3">
        <v>0</v>
      </c>
      <c r="J472" s="3">
        <v>1</v>
      </c>
      <c r="K472" s="3">
        <v>15</v>
      </c>
      <c r="L472" s="3">
        <v>54</v>
      </c>
      <c r="M472" s="3">
        <v>65</v>
      </c>
      <c r="N472" s="3">
        <v>11</v>
      </c>
      <c r="O472" s="3">
        <v>3</v>
      </c>
      <c r="P472" s="3">
        <v>3</v>
      </c>
      <c r="Q472" s="3">
        <v>0</v>
      </c>
      <c r="R472" s="3">
        <v>0</v>
      </c>
      <c r="S472" s="2">
        <f t="shared" si="16"/>
        <v>152</v>
      </c>
      <c r="T472" s="4">
        <f t="shared" si="17"/>
        <v>2010.6184210526317</v>
      </c>
    </row>
    <row r="473" spans="1:20" hidden="1" x14ac:dyDescent="0.3">
      <c r="A473">
        <v>353870905000267</v>
      </c>
      <c r="B473" t="s">
        <v>217</v>
      </c>
      <c r="C473" t="s">
        <v>173</v>
      </c>
      <c r="D473">
        <v>1</v>
      </c>
      <c r="E473">
        <v>0</v>
      </c>
      <c r="F473" s="1">
        <v>344814</v>
      </c>
      <c r="G473" s="1">
        <v>344814</v>
      </c>
      <c r="H473" s="1">
        <v>0</v>
      </c>
      <c r="I473" s="3">
        <v>2</v>
      </c>
      <c r="J473" s="3">
        <v>2</v>
      </c>
      <c r="K473" s="3">
        <v>14</v>
      </c>
      <c r="L473" s="3">
        <v>61</v>
      </c>
      <c r="M473" s="3">
        <v>72</v>
      </c>
      <c r="N473" s="3">
        <v>14</v>
      </c>
      <c r="O473" s="3">
        <v>6</v>
      </c>
      <c r="P473" s="3">
        <v>1</v>
      </c>
      <c r="Q473" s="3">
        <v>0</v>
      </c>
      <c r="R473" s="3">
        <v>0</v>
      </c>
      <c r="S473" s="2">
        <f t="shared" si="16"/>
        <v>172</v>
      </c>
      <c r="T473" s="4">
        <f t="shared" si="17"/>
        <v>2004.7325581395348</v>
      </c>
    </row>
    <row r="474" spans="1:20" hidden="1" x14ac:dyDescent="0.3">
      <c r="A474">
        <v>353870905000434</v>
      </c>
      <c r="B474" t="s">
        <v>217</v>
      </c>
      <c r="C474" t="s">
        <v>159</v>
      </c>
      <c r="D474">
        <v>1</v>
      </c>
      <c r="E474">
        <v>0</v>
      </c>
      <c r="F474" s="1">
        <v>305915</v>
      </c>
      <c r="G474" s="1">
        <v>305915</v>
      </c>
      <c r="H474" s="1">
        <v>0</v>
      </c>
      <c r="I474" s="3">
        <v>0</v>
      </c>
      <c r="J474" s="3">
        <v>2</v>
      </c>
      <c r="K474" s="3">
        <v>11</v>
      </c>
      <c r="L474" s="3">
        <v>53</v>
      </c>
      <c r="M474" s="3">
        <v>64</v>
      </c>
      <c r="N474" s="3">
        <v>14</v>
      </c>
      <c r="O474" s="3">
        <v>8</v>
      </c>
      <c r="P474" s="3">
        <v>0</v>
      </c>
      <c r="Q474" s="3">
        <v>0</v>
      </c>
      <c r="R474" s="3">
        <v>1</v>
      </c>
      <c r="S474" s="2">
        <f t="shared" si="16"/>
        <v>153</v>
      </c>
      <c r="T474" s="4">
        <f t="shared" si="17"/>
        <v>1999.4444444444443</v>
      </c>
    </row>
    <row r="475" spans="1:20" hidden="1" x14ac:dyDescent="0.3">
      <c r="A475">
        <v>353870905000346</v>
      </c>
      <c r="B475" t="s">
        <v>217</v>
      </c>
      <c r="C475" t="s">
        <v>179</v>
      </c>
      <c r="D475">
        <v>1</v>
      </c>
      <c r="E475">
        <v>0</v>
      </c>
      <c r="F475" s="1">
        <v>429171</v>
      </c>
      <c r="G475" s="1">
        <v>429171</v>
      </c>
      <c r="H475" s="1">
        <v>0</v>
      </c>
      <c r="I475" s="3">
        <v>3</v>
      </c>
      <c r="J475" s="3">
        <v>3</v>
      </c>
      <c r="K475" s="3">
        <v>16</v>
      </c>
      <c r="L475" s="3">
        <v>63</v>
      </c>
      <c r="M475" s="3">
        <v>90</v>
      </c>
      <c r="N475" s="3">
        <v>24</v>
      </c>
      <c r="O475" s="3">
        <v>10</v>
      </c>
      <c r="P475" s="3">
        <v>1</v>
      </c>
      <c r="Q475" s="3">
        <v>0</v>
      </c>
      <c r="R475" s="3">
        <v>5</v>
      </c>
      <c r="S475" s="2">
        <f t="shared" si="16"/>
        <v>215</v>
      </c>
      <c r="T475" s="4">
        <f t="shared" si="17"/>
        <v>1996.1441860465115</v>
      </c>
    </row>
    <row r="476" spans="1:20" hidden="1" x14ac:dyDescent="0.3">
      <c r="A476">
        <v>353870905000541</v>
      </c>
      <c r="B476" t="s">
        <v>217</v>
      </c>
      <c r="C476" t="s">
        <v>65</v>
      </c>
      <c r="D476">
        <v>1</v>
      </c>
      <c r="E476">
        <v>0</v>
      </c>
      <c r="F476" s="1">
        <v>17960</v>
      </c>
      <c r="G476" s="1">
        <v>17960</v>
      </c>
      <c r="H476" s="1">
        <v>0</v>
      </c>
      <c r="I476" s="3">
        <v>0</v>
      </c>
      <c r="J476" s="3">
        <v>1</v>
      </c>
      <c r="K476" s="3">
        <v>0</v>
      </c>
      <c r="L476" s="3">
        <v>1</v>
      </c>
      <c r="M476" s="3">
        <v>4</v>
      </c>
      <c r="N476" s="3">
        <v>2</v>
      </c>
      <c r="O476" s="3">
        <v>1</v>
      </c>
      <c r="P476" s="3">
        <v>0</v>
      </c>
      <c r="Q476" s="3">
        <v>0</v>
      </c>
      <c r="R476" s="3">
        <v>0</v>
      </c>
      <c r="S476" s="2">
        <f t="shared" si="16"/>
        <v>9</v>
      </c>
      <c r="T476" s="4">
        <f t="shared" si="17"/>
        <v>1995.5555555555557</v>
      </c>
    </row>
    <row r="477" spans="1:20" hidden="1" x14ac:dyDescent="0.3">
      <c r="A477">
        <v>353870905000344</v>
      </c>
      <c r="B477" t="s">
        <v>217</v>
      </c>
      <c r="C477" t="s">
        <v>179</v>
      </c>
      <c r="D477">
        <v>1</v>
      </c>
      <c r="E477">
        <v>2</v>
      </c>
      <c r="F477" s="1">
        <v>380450</v>
      </c>
      <c r="G477" s="1">
        <v>379340</v>
      </c>
      <c r="H477" s="1">
        <v>1110</v>
      </c>
      <c r="I477" s="3">
        <v>0</v>
      </c>
      <c r="J477" s="3">
        <v>5</v>
      </c>
      <c r="K477" s="3">
        <v>24</v>
      </c>
      <c r="L477" s="3">
        <v>62</v>
      </c>
      <c r="M477" s="3">
        <v>66</v>
      </c>
      <c r="N477" s="3">
        <v>22</v>
      </c>
      <c r="O477" s="3">
        <v>8</v>
      </c>
      <c r="P477" s="3">
        <v>0</v>
      </c>
      <c r="Q477" s="3">
        <v>0</v>
      </c>
      <c r="R477" s="3">
        <v>4</v>
      </c>
      <c r="S477" s="2">
        <f t="shared" si="16"/>
        <v>191</v>
      </c>
      <c r="T477" s="4">
        <f t="shared" si="17"/>
        <v>1991.8848167539268</v>
      </c>
    </row>
    <row r="478" spans="1:20" hidden="1" x14ac:dyDescent="0.3">
      <c r="A478">
        <v>353870905000432</v>
      </c>
      <c r="B478" t="s">
        <v>217</v>
      </c>
      <c r="C478" t="s">
        <v>159</v>
      </c>
      <c r="D478">
        <v>1</v>
      </c>
      <c r="E478">
        <v>0</v>
      </c>
      <c r="F478" s="1">
        <v>438133</v>
      </c>
      <c r="G478" s="1">
        <v>438133</v>
      </c>
      <c r="H478" s="1">
        <v>0</v>
      </c>
      <c r="I478" s="3">
        <v>1</v>
      </c>
      <c r="J478" s="3">
        <v>6</v>
      </c>
      <c r="K478" s="3">
        <v>17</v>
      </c>
      <c r="L478" s="3">
        <v>77</v>
      </c>
      <c r="M478" s="3">
        <v>85</v>
      </c>
      <c r="N478" s="3">
        <v>25</v>
      </c>
      <c r="O478" s="3">
        <v>2</v>
      </c>
      <c r="P478" s="3">
        <v>1</v>
      </c>
      <c r="Q478" s="3">
        <v>0</v>
      </c>
      <c r="R478" s="3">
        <v>6</v>
      </c>
      <c r="S478" s="2">
        <f t="shared" si="16"/>
        <v>220</v>
      </c>
      <c r="T478" s="4">
        <f t="shared" si="17"/>
        <v>1991.5136363636364</v>
      </c>
    </row>
    <row r="479" spans="1:20" hidden="1" x14ac:dyDescent="0.3">
      <c r="A479">
        <v>353870905000291</v>
      </c>
      <c r="B479" t="s">
        <v>217</v>
      </c>
      <c r="C479" t="s">
        <v>185</v>
      </c>
      <c r="D479">
        <v>1</v>
      </c>
      <c r="E479">
        <v>0</v>
      </c>
      <c r="F479" s="1">
        <v>386154</v>
      </c>
      <c r="G479" s="1">
        <v>386154</v>
      </c>
      <c r="H479" s="1">
        <v>0</v>
      </c>
      <c r="I479" s="3">
        <v>2</v>
      </c>
      <c r="J479" s="3">
        <v>3</v>
      </c>
      <c r="K479" s="3">
        <v>25</v>
      </c>
      <c r="L479" s="3">
        <v>80</v>
      </c>
      <c r="M479" s="3">
        <v>67</v>
      </c>
      <c r="N479" s="3">
        <v>11</v>
      </c>
      <c r="O479" s="3">
        <v>4</v>
      </c>
      <c r="P479" s="3">
        <v>0</v>
      </c>
      <c r="Q479" s="3">
        <v>0</v>
      </c>
      <c r="R479" s="3">
        <v>2</v>
      </c>
      <c r="S479" s="2">
        <f t="shared" si="16"/>
        <v>194</v>
      </c>
      <c r="T479" s="4">
        <f t="shared" si="17"/>
        <v>1990.4845360824743</v>
      </c>
    </row>
    <row r="480" spans="1:20" hidden="1" x14ac:dyDescent="0.3">
      <c r="A480">
        <v>353870905000353</v>
      </c>
      <c r="B480" t="s">
        <v>217</v>
      </c>
      <c r="C480" t="s">
        <v>173</v>
      </c>
      <c r="D480">
        <v>1</v>
      </c>
      <c r="E480">
        <v>0</v>
      </c>
      <c r="F480" s="1">
        <v>443531</v>
      </c>
      <c r="G480" s="1">
        <v>443531</v>
      </c>
      <c r="H480" s="1">
        <v>0</v>
      </c>
      <c r="I480" s="3">
        <v>2</v>
      </c>
      <c r="J480" s="3">
        <v>4</v>
      </c>
      <c r="K480" s="3">
        <v>26</v>
      </c>
      <c r="L480" s="3">
        <v>79</v>
      </c>
      <c r="M480" s="3">
        <v>78</v>
      </c>
      <c r="N480" s="3">
        <v>19</v>
      </c>
      <c r="O480" s="3">
        <v>8</v>
      </c>
      <c r="P480" s="3">
        <v>2</v>
      </c>
      <c r="Q480" s="3">
        <v>0</v>
      </c>
      <c r="R480" s="3">
        <v>5</v>
      </c>
      <c r="S480" s="2">
        <f t="shared" si="16"/>
        <v>223</v>
      </c>
      <c r="T480" s="4">
        <f t="shared" si="17"/>
        <v>1988.9282511210763</v>
      </c>
    </row>
    <row r="481" spans="1:20" hidden="1" x14ac:dyDescent="0.3">
      <c r="A481">
        <v>353870905000366</v>
      </c>
      <c r="B481" t="s">
        <v>217</v>
      </c>
      <c r="C481" t="s">
        <v>182</v>
      </c>
      <c r="D481">
        <v>1</v>
      </c>
      <c r="E481">
        <v>1</v>
      </c>
      <c r="F481" s="1">
        <v>363917</v>
      </c>
      <c r="G481" s="1">
        <v>361417</v>
      </c>
      <c r="H481" s="1">
        <v>2500</v>
      </c>
      <c r="I481" s="3">
        <v>0</v>
      </c>
      <c r="J481" s="3">
        <v>7</v>
      </c>
      <c r="K481" s="3">
        <v>24</v>
      </c>
      <c r="L481" s="3">
        <v>67</v>
      </c>
      <c r="M481" s="3">
        <v>62</v>
      </c>
      <c r="N481" s="3">
        <v>16</v>
      </c>
      <c r="O481" s="3">
        <v>4</v>
      </c>
      <c r="P481" s="3">
        <v>1</v>
      </c>
      <c r="Q481" s="3">
        <v>0</v>
      </c>
      <c r="R481" s="3">
        <v>2</v>
      </c>
      <c r="S481" s="2">
        <f t="shared" si="16"/>
        <v>183</v>
      </c>
      <c r="T481" s="4">
        <f t="shared" si="17"/>
        <v>1988.6174863387978</v>
      </c>
    </row>
    <row r="482" spans="1:20" hidden="1" x14ac:dyDescent="0.3">
      <c r="A482">
        <v>353870905000235</v>
      </c>
      <c r="B482" t="s">
        <v>217</v>
      </c>
      <c r="C482" t="s">
        <v>114</v>
      </c>
      <c r="D482">
        <v>1</v>
      </c>
      <c r="E482">
        <v>0</v>
      </c>
      <c r="F482" s="1">
        <v>460894</v>
      </c>
      <c r="G482" s="1">
        <v>460894</v>
      </c>
      <c r="H482" s="1">
        <v>0</v>
      </c>
      <c r="I482" s="3">
        <v>0</v>
      </c>
      <c r="J482" s="3">
        <v>2</v>
      </c>
      <c r="K482" s="3">
        <v>19</v>
      </c>
      <c r="L482" s="3">
        <v>68</v>
      </c>
      <c r="M482" s="3">
        <v>101</v>
      </c>
      <c r="N482" s="3">
        <v>26</v>
      </c>
      <c r="O482" s="3">
        <v>11</v>
      </c>
      <c r="P482" s="3">
        <v>3</v>
      </c>
      <c r="Q482" s="3">
        <v>0</v>
      </c>
      <c r="R482" s="3">
        <v>2</v>
      </c>
      <c r="S482" s="2">
        <f t="shared" si="16"/>
        <v>232</v>
      </c>
      <c r="T482" s="4">
        <f t="shared" si="17"/>
        <v>1986.6120689655172</v>
      </c>
    </row>
    <row r="483" spans="1:20" hidden="1" x14ac:dyDescent="0.3">
      <c r="A483">
        <v>353870905000255</v>
      </c>
      <c r="B483" t="s">
        <v>217</v>
      </c>
      <c r="C483" t="s">
        <v>173</v>
      </c>
      <c r="D483">
        <v>1</v>
      </c>
      <c r="E483">
        <v>0</v>
      </c>
      <c r="F483" s="1">
        <v>241810</v>
      </c>
      <c r="G483" s="1">
        <v>241810</v>
      </c>
      <c r="H483" s="1">
        <v>0</v>
      </c>
      <c r="I483" s="3">
        <v>0</v>
      </c>
      <c r="J483" s="3">
        <v>3</v>
      </c>
      <c r="K483" s="3">
        <v>16</v>
      </c>
      <c r="L483" s="3">
        <v>40</v>
      </c>
      <c r="M483" s="3">
        <v>40</v>
      </c>
      <c r="N483" s="3">
        <v>11</v>
      </c>
      <c r="O483" s="3">
        <v>8</v>
      </c>
      <c r="P483" s="3">
        <v>0</v>
      </c>
      <c r="Q483" s="3">
        <v>0</v>
      </c>
      <c r="R483" s="3">
        <v>4</v>
      </c>
      <c r="S483" s="2">
        <f t="shared" si="16"/>
        <v>122</v>
      </c>
      <c r="T483" s="4">
        <f t="shared" si="17"/>
        <v>1982.049180327869</v>
      </c>
    </row>
    <row r="484" spans="1:20" hidden="1" x14ac:dyDescent="0.3">
      <c r="A484">
        <v>353870905000402</v>
      </c>
      <c r="B484" t="s">
        <v>217</v>
      </c>
      <c r="C484" t="s">
        <v>125</v>
      </c>
      <c r="D484">
        <v>1</v>
      </c>
      <c r="E484">
        <v>0</v>
      </c>
      <c r="F484" s="1">
        <v>263608</v>
      </c>
      <c r="G484" s="1">
        <v>263608</v>
      </c>
      <c r="H484" s="1">
        <v>0</v>
      </c>
      <c r="I484" s="3">
        <v>1</v>
      </c>
      <c r="J484" s="3">
        <v>3</v>
      </c>
      <c r="K484" s="3">
        <v>14</v>
      </c>
      <c r="L484" s="3">
        <v>41</v>
      </c>
      <c r="M484" s="3">
        <v>42</v>
      </c>
      <c r="N484" s="3">
        <v>9</v>
      </c>
      <c r="O484" s="3">
        <v>3</v>
      </c>
      <c r="P484" s="3">
        <v>2</v>
      </c>
      <c r="Q484" s="3">
        <v>1</v>
      </c>
      <c r="R484" s="3">
        <v>17</v>
      </c>
      <c r="S484" s="2">
        <f t="shared" si="16"/>
        <v>133</v>
      </c>
      <c r="T484" s="4">
        <f t="shared" si="17"/>
        <v>1982.015037593985</v>
      </c>
    </row>
    <row r="485" spans="1:20" hidden="1" x14ac:dyDescent="0.3">
      <c r="A485">
        <v>353870905000511</v>
      </c>
      <c r="B485" t="s">
        <v>217</v>
      </c>
      <c r="C485" t="s">
        <v>132</v>
      </c>
      <c r="D485">
        <v>2</v>
      </c>
      <c r="E485">
        <v>0</v>
      </c>
      <c r="F485" s="1">
        <v>280626</v>
      </c>
      <c r="G485" s="1">
        <v>280626</v>
      </c>
      <c r="H485" s="1">
        <v>0</v>
      </c>
      <c r="I485" s="3">
        <v>1</v>
      </c>
      <c r="J485" s="3">
        <v>3</v>
      </c>
      <c r="K485" s="3">
        <v>14</v>
      </c>
      <c r="L485" s="3">
        <v>45</v>
      </c>
      <c r="M485" s="3">
        <v>49</v>
      </c>
      <c r="N485" s="3">
        <v>13</v>
      </c>
      <c r="O485" s="3">
        <v>9</v>
      </c>
      <c r="P485" s="3">
        <v>0</v>
      </c>
      <c r="Q485" s="3">
        <v>0</v>
      </c>
      <c r="R485" s="3">
        <v>8</v>
      </c>
      <c r="S485" s="2">
        <f t="shared" si="16"/>
        <v>142</v>
      </c>
      <c r="T485" s="4">
        <f t="shared" si="17"/>
        <v>1976.2394366197184</v>
      </c>
    </row>
    <row r="486" spans="1:20" hidden="1" x14ac:dyDescent="0.3">
      <c r="A486">
        <v>353870935000006</v>
      </c>
      <c r="B486" t="s">
        <v>217</v>
      </c>
      <c r="C486" t="s">
        <v>170</v>
      </c>
      <c r="D486">
        <v>1</v>
      </c>
      <c r="E486">
        <v>0</v>
      </c>
      <c r="F486" s="1">
        <v>422915</v>
      </c>
      <c r="G486" s="1">
        <v>422915</v>
      </c>
      <c r="H486" s="1">
        <v>0</v>
      </c>
      <c r="I486" s="3">
        <v>1</v>
      </c>
      <c r="J486" s="3">
        <v>6</v>
      </c>
      <c r="K486" s="3">
        <v>27</v>
      </c>
      <c r="L486" s="3">
        <v>73</v>
      </c>
      <c r="M486" s="3">
        <v>86</v>
      </c>
      <c r="N486" s="3">
        <v>11</v>
      </c>
      <c r="O486" s="3">
        <v>10</v>
      </c>
      <c r="P486" s="3">
        <v>0</v>
      </c>
      <c r="Q486" s="3">
        <v>0</v>
      </c>
      <c r="R486" s="3">
        <v>0</v>
      </c>
      <c r="S486" s="2">
        <f t="shared" si="16"/>
        <v>214</v>
      </c>
      <c r="T486" s="4">
        <f t="shared" si="17"/>
        <v>1976.2383177570093</v>
      </c>
    </row>
    <row r="487" spans="1:20" hidden="1" x14ac:dyDescent="0.3">
      <c r="A487">
        <v>353870905000388</v>
      </c>
      <c r="B487" t="s">
        <v>217</v>
      </c>
      <c r="C487" t="s">
        <v>108</v>
      </c>
      <c r="D487">
        <v>1</v>
      </c>
      <c r="E487">
        <v>0</v>
      </c>
      <c r="F487" s="1">
        <v>450137</v>
      </c>
      <c r="G487" s="1">
        <v>450137</v>
      </c>
      <c r="H487" s="1">
        <v>0</v>
      </c>
      <c r="I487" s="3">
        <v>1</v>
      </c>
      <c r="J487" s="3">
        <v>5</v>
      </c>
      <c r="K487" s="3">
        <v>27</v>
      </c>
      <c r="L487" s="3">
        <v>70</v>
      </c>
      <c r="M487" s="3">
        <v>92</v>
      </c>
      <c r="N487" s="3">
        <v>20</v>
      </c>
      <c r="O487" s="3">
        <v>9</v>
      </c>
      <c r="P487" s="3">
        <v>0</v>
      </c>
      <c r="Q487" s="3">
        <v>0</v>
      </c>
      <c r="R487" s="3">
        <v>4</v>
      </c>
      <c r="S487" s="2">
        <f t="shared" si="16"/>
        <v>228</v>
      </c>
      <c r="T487" s="4">
        <f t="shared" si="17"/>
        <v>1974.2850877192982</v>
      </c>
    </row>
    <row r="488" spans="1:20" hidden="1" x14ac:dyDescent="0.3">
      <c r="A488">
        <v>353870935000056</v>
      </c>
      <c r="B488" t="s">
        <v>217</v>
      </c>
      <c r="C488" t="s">
        <v>155</v>
      </c>
      <c r="D488">
        <v>2</v>
      </c>
      <c r="E488">
        <v>0</v>
      </c>
      <c r="F488" s="1">
        <v>360388</v>
      </c>
      <c r="G488" s="1">
        <v>360388</v>
      </c>
      <c r="H488" s="1">
        <v>0</v>
      </c>
      <c r="I488" s="3">
        <v>1</v>
      </c>
      <c r="J488" s="3">
        <v>4</v>
      </c>
      <c r="K488" s="3">
        <v>21</v>
      </c>
      <c r="L488" s="3">
        <v>70</v>
      </c>
      <c r="M488" s="3">
        <v>63</v>
      </c>
      <c r="N488" s="3">
        <v>15</v>
      </c>
      <c r="O488" s="3">
        <v>7</v>
      </c>
      <c r="P488" s="3">
        <v>0</v>
      </c>
      <c r="Q488" s="3">
        <v>0</v>
      </c>
      <c r="R488" s="3">
        <v>2</v>
      </c>
      <c r="S488" s="2">
        <f t="shared" si="16"/>
        <v>183</v>
      </c>
      <c r="T488" s="4">
        <f t="shared" si="17"/>
        <v>1969.3333333333333</v>
      </c>
    </row>
    <row r="489" spans="1:20" hidden="1" x14ac:dyDescent="0.3">
      <c r="A489">
        <v>353870935000029</v>
      </c>
      <c r="B489" t="s">
        <v>217</v>
      </c>
      <c r="C489" t="s">
        <v>161</v>
      </c>
      <c r="D489">
        <v>1</v>
      </c>
      <c r="E489">
        <v>0</v>
      </c>
      <c r="F489" s="1">
        <v>320846</v>
      </c>
      <c r="G489" s="1">
        <v>320846</v>
      </c>
      <c r="H489" s="1">
        <v>0</v>
      </c>
      <c r="I489" s="3">
        <v>1</v>
      </c>
      <c r="J489" s="3">
        <v>1</v>
      </c>
      <c r="K489" s="3">
        <v>14</v>
      </c>
      <c r="L489" s="3">
        <v>59</v>
      </c>
      <c r="M489" s="3">
        <v>57</v>
      </c>
      <c r="N489" s="3">
        <v>19</v>
      </c>
      <c r="O489" s="3">
        <v>2</v>
      </c>
      <c r="P489" s="3">
        <v>0</v>
      </c>
      <c r="Q489" s="3">
        <v>0</v>
      </c>
      <c r="R489" s="3">
        <v>10</v>
      </c>
      <c r="S489" s="2">
        <f t="shared" si="16"/>
        <v>163</v>
      </c>
      <c r="T489" s="4">
        <f t="shared" si="17"/>
        <v>1968.3803680981596</v>
      </c>
    </row>
    <row r="490" spans="1:20" hidden="1" x14ac:dyDescent="0.3">
      <c r="A490">
        <v>353870905000578</v>
      </c>
      <c r="B490" t="s">
        <v>217</v>
      </c>
      <c r="C490" t="s">
        <v>176</v>
      </c>
      <c r="D490">
        <v>1</v>
      </c>
      <c r="E490">
        <v>0</v>
      </c>
      <c r="F490" s="1">
        <v>226293</v>
      </c>
      <c r="G490" s="1">
        <v>226293</v>
      </c>
      <c r="H490" s="1">
        <v>0</v>
      </c>
      <c r="I490" s="3">
        <v>2</v>
      </c>
      <c r="J490" s="3">
        <v>0</v>
      </c>
      <c r="K490" s="3">
        <v>17</v>
      </c>
      <c r="L490" s="3">
        <v>41</v>
      </c>
      <c r="M490" s="3">
        <v>41</v>
      </c>
      <c r="N490" s="3">
        <v>11</v>
      </c>
      <c r="O490" s="3">
        <v>2</v>
      </c>
      <c r="P490" s="3">
        <v>0</v>
      </c>
      <c r="Q490" s="3">
        <v>0</v>
      </c>
      <c r="R490" s="3">
        <v>1</v>
      </c>
      <c r="S490" s="2">
        <f t="shared" si="16"/>
        <v>115</v>
      </c>
      <c r="T490" s="4">
        <f t="shared" si="17"/>
        <v>1967.7652173913043</v>
      </c>
    </row>
    <row r="491" spans="1:20" hidden="1" x14ac:dyDescent="0.3">
      <c r="A491">
        <v>353870935000053</v>
      </c>
      <c r="B491" t="s">
        <v>217</v>
      </c>
      <c r="C491" t="s">
        <v>155</v>
      </c>
      <c r="D491">
        <v>1</v>
      </c>
      <c r="E491">
        <v>0</v>
      </c>
      <c r="F491" s="1">
        <v>169040</v>
      </c>
      <c r="G491" s="1">
        <v>169040</v>
      </c>
      <c r="H491" s="1">
        <v>0</v>
      </c>
      <c r="I491" s="3">
        <v>1</v>
      </c>
      <c r="J491" s="3">
        <v>3</v>
      </c>
      <c r="K491" s="3">
        <v>6</v>
      </c>
      <c r="L491" s="3">
        <v>32</v>
      </c>
      <c r="M491" s="3">
        <v>32</v>
      </c>
      <c r="N491" s="3">
        <v>4</v>
      </c>
      <c r="O491" s="3">
        <v>2</v>
      </c>
      <c r="P491" s="3">
        <v>2</v>
      </c>
      <c r="Q491" s="3">
        <v>0</v>
      </c>
      <c r="R491" s="3">
        <v>4</v>
      </c>
      <c r="S491" s="2">
        <f t="shared" si="16"/>
        <v>86</v>
      </c>
      <c r="T491" s="4">
        <f t="shared" si="17"/>
        <v>1965.5813953488373</v>
      </c>
    </row>
    <row r="492" spans="1:20" hidden="1" x14ac:dyDescent="0.3">
      <c r="A492">
        <v>353870905000167</v>
      </c>
      <c r="B492" t="s">
        <v>217</v>
      </c>
      <c r="C492" t="s">
        <v>135</v>
      </c>
      <c r="D492">
        <v>1</v>
      </c>
      <c r="E492">
        <v>0</v>
      </c>
      <c r="F492" s="1">
        <v>278976</v>
      </c>
      <c r="G492" s="1">
        <v>278976</v>
      </c>
      <c r="H492" s="1">
        <v>0</v>
      </c>
      <c r="I492" s="3">
        <v>1</v>
      </c>
      <c r="J492" s="3">
        <v>2</v>
      </c>
      <c r="K492" s="3">
        <v>7</v>
      </c>
      <c r="L492" s="3">
        <v>45</v>
      </c>
      <c r="M492" s="3">
        <v>51</v>
      </c>
      <c r="N492" s="3">
        <v>18</v>
      </c>
      <c r="O492" s="3">
        <v>7</v>
      </c>
      <c r="P492" s="3">
        <v>4</v>
      </c>
      <c r="Q492" s="3">
        <v>0</v>
      </c>
      <c r="R492" s="3">
        <v>7</v>
      </c>
      <c r="S492" s="2">
        <f t="shared" si="16"/>
        <v>142</v>
      </c>
      <c r="T492" s="4">
        <f t="shared" si="17"/>
        <v>1964.6197183098591</v>
      </c>
    </row>
    <row r="493" spans="1:20" hidden="1" x14ac:dyDescent="0.3">
      <c r="A493">
        <v>353870905000460</v>
      </c>
      <c r="B493" t="s">
        <v>217</v>
      </c>
      <c r="C493" t="s">
        <v>28</v>
      </c>
      <c r="D493">
        <v>1</v>
      </c>
      <c r="E493">
        <v>0</v>
      </c>
      <c r="F493" s="1">
        <v>78153</v>
      </c>
      <c r="G493" s="1">
        <v>78153</v>
      </c>
      <c r="H493" s="1">
        <v>0</v>
      </c>
      <c r="I493" s="3">
        <v>0</v>
      </c>
      <c r="J493" s="3">
        <v>0</v>
      </c>
      <c r="K493" s="3">
        <v>4</v>
      </c>
      <c r="L493" s="3">
        <v>9</v>
      </c>
      <c r="M493" s="3">
        <v>9</v>
      </c>
      <c r="N493" s="3">
        <v>5</v>
      </c>
      <c r="O493" s="3">
        <v>1</v>
      </c>
      <c r="P493" s="3">
        <v>0</v>
      </c>
      <c r="Q493" s="3">
        <v>1</v>
      </c>
      <c r="R493" s="3">
        <v>11</v>
      </c>
      <c r="S493" s="2">
        <f t="shared" si="16"/>
        <v>40</v>
      </c>
      <c r="T493" s="4">
        <f t="shared" si="17"/>
        <v>1953.825</v>
      </c>
    </row>
    <row r="494" spans="1:20" hidden="1" x14ac:dyDescent="0.3">
      <c r="A494">
        <v>353870905000330</v>
      </c>
      <c r="B494" t="s">
        <v>217</v>
      </c>
      <c r="C494" t="s">
        <v>188</v>
      </c>
      <c r="D494">
        <v>1</v>
      </c>
      <c r="E494">
        <v>0</v>
      </c>
      <c r="F494" s="1">
        <v>398457</v>
      </c>
      <c r="G494" s="1">
        <v>398457</v>
      </c>
      <c r="H494" s="1">
        <v>0</v>
      </c>
      <c r="I494" s="3">
        <v>0</v>
      </c>
      <c r="J494" s="3">
        <v>5</v>
      </c>
      <c r="K494" s="3">
        <v>22</v>
      </c>
      <c r="L494" s="3">
        <v>73</v>
      </c>
      <c r="M494" s="3">
        <v>79</v>
      </c>
      <c r="N494" s="3">
        <v>19</v>
      </c>
      <c r="O494" s="3">
        <v>3</v>
      </c>
      <c r="P494" s="3">
        <v>1</v>
      </c>
      <c r="Q494" s="3">
        <v>0</v>
      </c>
      <c r="R494" s="3">
        <v>2</v>
      </c>
      <c r="S494" s="2">
        <f t="shared" si="16"/>
        <v>204</v>
      </c>
      <c r="T494" s="4">
        <f t="shared" si="17"/>
        <v>1953.2205882352941</v>
      </c>
    </row>
    <row r="495" spans="1:20" hidden="1" x14ac:dyDescent="0.3">
      <c r="A495">
        <v>353870905000550</v>
      </c>
      <c r="B495" t="s">
        <v>217</v>
      </c>
      <c r="C495" t="s">
        <v>218</v>
      </c>
      <c r="D495">
        <v>8</v>
      </c>
      <c r="E495">
        <v>0</v>
      </c>
      <c r="F495" s="1">
        <v>87869</v>
      </c>
      <c r="G495" s="1">
        <v>87869</v>
      </c>
      <c r="H495" s="1">
        <v>0</v>
      </c>
      <c r="I495" s="3">
        <v>0</v>
      </c>
      <c r="J495" s="3">
        <v>0</v>
      </c>
      <c r="K495" s="3">
        <v>4</v>
      </c>
      <c r="L495" s="3">
        <v>17</v>
      </c>
      <c r="M495" s="3">
        <v>19</v>
      </c>
      <c r="N495" s="3">
        <v>2</v>
      </c>
      <c r="O495" s="3">
        <v>3</v>
      </c>
      <c r="P495" s="3">
        <v>0</v>
      </c>
      <c r="Q495" s="3">
        <v>0</v>
      </c>
      <c r="R495" s="3">
        <v>0</v>
      </c>
      <c r="S495" s="2">
        <f t="shared" si="16"/>
        <v>45</v>
      </c>
      <c r="T495" s="4">
        <f t="shared" si="17"/>
        <v>1952.6444444444444</v>
      </c>
    </row>
    <row r="496" spans="1:20" hidden="1" x14ac:dyDescent="0.3">
      <c r="A496">
        <v>353870905000399</v>
      </c>
      <c r="B496" t="s">
        <v>217</v>
      </c>
      <c r="C496" t="s">
        <v>108</v>
      </c>
      <c r="D496">
        <v>1</v>
      </c>
      <c r="E496">
        <v>0</v>
      </c>
      <c r="F496" s="1">
        <v>507687</v>
      </c>
      <c r="G496" s="1">
        <v>507687</v>
      </c>
      <c r="H496" s="1">
        <v>0</v>
      </c>
      <c r="I496" s="3">
        <v>0</v>
      </c>
      <c r="J496" s="3">
        <v>9</v>
      </c>
      <c r="K496" s="3">
        <v>40</v>
      </c>
      <c r="L496" s="3">
        <v>84</v>
      </c>
      <c r="M496" s="3">
        <v>91</v>
      </c>
      <c r="N496" s="3">
        <v>19</v>
      </c>
      <c r="O496" s="3">
        <v>10</v>
      </c>
      <c r="P496" s="3">
        <v>1</v>
      </c>
      <c r="Q496" s="3">
        <v>0</v>
      </c>
      <c r="R496" s="3">
        <v>6</v>
      </c>
      <c r="S496" s="2">
        <f t="shared" si="16"/>
        <v>260</v>
      </c>
      <c r="T496" s="4">
        <f t="shared" si="17"/>
        <v>1952.6423076923077</v>
      </c>
    </row>
    <row r="497" spans="1:20" hidden="1" x14ac:dyDescent="0.3">
      <c r="A497">
        <v>353870905000551</v>
      </c>
      <c r="B497" t="s">
        <v>217</v>
      </c>
      <c r="C497" t="s">
        <v>218</v>
      </c>
      <c r="D497">
        <v>8</v>
      </c>
      <c r="E497">
        <v>0</v>
      </c>
      <c r="F497" s="1">
        <v>21435</v>
      </c>
      <c r="G497" s="1">
        <v>21435</v>
      </c>
      <c r="H497" s="1">
        <v>0</v>
      </c>
      <c r="I497" s="3">
        <v>1</v>
      </c>
      <c r="J497" s="3">
        <v>0</v>
      </c>
      <c r="K497" s="3">
        <v>2</v>
      </c>
      <c r="L497" s="3">
        <v>3</v>
      </c>
      <c r="M497" s="3">
        <v>4</v>
      </c>
      <c r="N497" s="3">
        <v>1</v>
      </c>
      <c r="O497" s="3">
        <v>0</v>
      </c>
      <c r="P497" s="3">
        <v>0</v>
      </c>
      <c r="Q497" s="3">
        <v>0</v>
      </c>
      <c r="R497" s="3">
        <v>0</v>
      </c>
      <c r="S497" s="2">
        <f t="shared" si="16"/>
        <v>11</v>
      </c>
      <c r="T497" s="4">
        <f t="shared" si="17"/>
        <v>1948.6363636363637</v>
      </c>
    </row>
    <row r="498" spans="1:20" hidden="1" x14ac:dyDescent="0.3">
      <c r="A498">
        <v>353870905000323</v>
      </c>
      <c r="B498" t="s">
        <v>217</v>
      </c>
      <c r="C498" t="s">
        <v>94</v>
      </c>
      <c r="D498">
        <v>1</v>
      </c>
      <c r="E498">
        <v>0</v>
      </c>
      <c r="F498" s="1">
        <v>390922</v>
      </c>
      <c r="G498" s="1">
        <v>390922</v>
      </c>
      <c r="H498" s="1">
        <v>0</v>
      </c>
      <c r="I498" s="3">
        <v>2</v>
      </c>
      <c r="J498" s="3">
        <v>2</v>
      </c>
      <c r="K498" s="3">
        <v>15</v>
      </c>
      <c r="L498" s="3">
        <v>62</v>
      </c>
      <c r="M498" s="3">
        <v>86</v>
      </c>
      <c r="N498" s="3">
        <v>27</v>
      </c>
      <c r="O498" s="3">
        <v>4</v>
      </c>
      <c r="P498" s="3">
        <v>3</v>
      </c>
      <c r="Q498" s="3">
        <v>0</v>
      </c>
      <c r="R498" s="3">
        <v>0</v>
      </c>
      <c r="S498" s="2">
        <f t="shared" si="16"/>
        <v>201</v>
      </c>
      <c r="T498" s="4">
        <f t="shared" si="17"/>
        <v>1944.8855721393036</v>
      </c>
    </row>
    <row r="499" spans="1:20" hidden="1" x14ac:dyDescent="0.3">
      <c r="A499">
        <v>353870935000009</v>
      </c>
      <c r="B499" t="s">
        <v>217</v>
      </c>
      <c r="C499" t="s">
        <v>170</v>
      </c>
      <c r="D499">
        <v>1</v>
      </c>
      <c r="E499">
        <v>0</v>
      </c>
      <c r="F499" s="1">
        <v>376205</v>
      </c>
      <c r="G499" s="1">
        <v>376205</v>
      </c>
      <c r="H499" s="1">
        <v>0</v>
      </c>
      <c r="I499" s="3">
        <v>3</v>
      </c>
      <c r="J499" s="3">
        <v>5</v>
      </c>
      <c r="K499" s="3">
        <v>30</v>
      </c>
      <c r="L499" s="3">
        <v>50</v>
      </c>
      <c r="M499" s="3">
        <v>53</v>
      </c>
      <c r="N499" s="3">
        <v>23</v>
      </c>
      <c r="O499" s="3">
        <v>6</v>
      </c>
      <c r="P499" s="3">
        <v>1</v>
      </c>
      <c r="Q499" s="3">
        <v>2</v>
      </c>
      <c r="R499" s="3">
        <v>21</v>
      </c>
      <c r="S499" s="2">
        <f t="shared" si="16"/>
        <v>194</v>
      </c>
      <c r="T499" s="4">
        <f t="shared" si="17"/>
        <v>1939.2010309278351</v>
      </c>
    </row>
    <row r="500" spans="1:20" hidden="1" x14ac:dyDescent="0.3">
      <c r="A500">
        <v>353870935000035</v>
      </c>
      <c r="B500" t="s">
        <v>217</v>
      </c>
      <c r="C500" t="s">
        <v>161</v>
      </c>
      <c r="D500">
        <v>2</v>
      </c>
      <c r="E500">
        <v>0</v>
      </c>
      <c r="F500" s="1">
        <v>210905</v>
      </c>
      <c r="G500" s="1">
        <v>210905</v>
      </c>
      <c r="H500" s="1">
        <v>0</v>
      </c>
      <c r="I500" s="3">
        <v>1</v>
      </c>
      <c r="J500" s="3">
        <v>2</v>
      </c>
      <c r="K500" s="3">
        <v>18</v>
      </c>
      <c r="L500" s="3">
        <v>39</v>
      </c>
      <c r="M500" s="3">
        <v>42</v>
      </c>
      <c r="N500" s="3">
        <v>4</v>
      </c>
      <c r="O500" s="3">
        <v>1</v>
      </c>
      <c r="P500" s="3">
        <v>1</v>
      </c>
      <c r="Q500" s="3">
        <v>0</v>
      </c>
      <c r="R500" s="3">
        <v>1</v>
      </c>
      <c r="S500" s="2">
        <f t="shared" si="16"/>
        <v>109</v>
      </c>
      <c r="T500" s="4">
        <f t="shared" si="17"/>
        <v>1934.9082568807339</v>
      </c>
    </row>
    <row r="501" spans="1:20" hidden="1" x14ac:dyDescent="0.3">
      <c r="A501">
        <v>353870905000263</v>
      </c>
      <c r="B501" t="s">
        <v>217</v>
      </c>
      <c r="C501" t="s">
        <v>173</v>
      </c>
      <c r="D501">
        <v>1</v>
      </c>
      <c r="E501">
        <v>0</v>
      </c>
      <c r="F501" s="1">
        <v>490510</v>
      </c>
      <c r="G501" s="1">
        <v>490510</v>
      </c>
      <c r="H501" s="1">
        <v>0</v>
      </c>
      <c r="I501" s="3">
        <v>0</v>
      </c>
      <c r="J501" s="3">
        <v>6</v>
      </c>
      <c r="K501" s="3">
        <v>35</v>
      </c>
      <c r="L501" s="3">
        <v>90</v>
      </c>
      <c r="M501" s="3">
        <v>81</v>
      </c>
      <c r="N501" s="3">
        <v>27</v>
      </c>
      <c r="O501" s="3">
        <v>6</v>
      </c>
      <c r="P501" s="3">
        <v>3</v>
      </c>
      <c r="Q501" s="3">
        <v>0</v>
      </c>
      <c r="R501" s="3">
        <v>6</v>
      </c>
      <c r="S501" s="2">
        <f t="shared" si="16"/>
        <v>254</v>
      </c>
      <c r="T501" s="4">
        <f t="shared" si="17"/>
        <v>1931.1417322834645</v>
      </c>
    </row>
    <row r="502" spans="1:20" hidden="1" x14ac:dyDescent="0.3">
      <c r="A502">
        <v>353870905000032</v>
      </c>
      <c r="B502" t="s">
        <v>217</v>
      </c>
      <c r="C502" t="s">
        <v>142</v>
      </c>
      <c r="D502">
        <v>1</v>
      </c>
      <c r="E502">
        <v>0</v>
      </c>
      <c r="F502" s="1">
        <v>191119</v>
      </c>
      <c r="G502" s="1">
        <v>191119</v>
      </c>
      <c r="H502" s="1">
        <v>0</v>
      </c>
      <c r="I502" s="3">
        <v>1</v>
      </c>
      <c r="J502" s="3">
        <v>0</v>
      </c>
      <c r="K502" s="3">
        <v>5</v>
      </c>
      <c r="L502" s="3">
        <v>28</v>
      </c>
      <c r="M502" s="3">
        <v>39</v>
      </c>
      <c r="N502" s="3">
        <v>16</v>
      </c>
      <c r="O502" s="3">
        <v>5</v>
      </c>
      <c r="P502" s="3">
        <v>2</v>
      </c>
      <c r="Q502" s="3">
        <v>0</v>
      </c>
      <c r="R502" s="3">
        <v>3</v>
      </c>
      <c r="S502" s="2">
        <f t="shared" si="16"/>
        <v>99</v>
      </c>
      <c r="T502" s="4">
        <f t="shared" si="17"/>
        <v>1930.4949494949494</v>
      </c>
    </row>
    <row r="503" spans="1:20" hidden="1" x14ac:dyDescent="0.3">
      <c r="A503">
        <v>353870925000004</v>
      </c>
      <c r="B503" t="s">
        <v>217</v>
      </c>
      <c r="C503" t="s">
        <v>218</v>
      </c>
      <c r="D503">
        <v>8</v>
      </c>
      <c r="E503">
        <v>0</v>
      </c>
      <c r="F503" s="1">
        <v>223071</v>
      </c>
      <c r="G503" s="1">
        <v>223071</v>
      </c>
      <c r="H503" s="1">
        <v>0</v>
      </c>
      <c r="I503" s="3">
        <v>1</v>
      </c>
      <c r="J503" s="3">
        <v>1</v>
      </c>
      <c r="K503" s="3">
        <v>12</v>
      </c>
      <c r="L503" s="3">
        <v>45</v>
      </c>
      <c r="M503" s="3">
        <v>32</v>
      </c>
      <c r="N503" s="3">
        <v>9</v>
      </c>
      <c r="O503" s="3">
        <v>4</v>
      </c>
      <c r="P503" s="3">
        <v>3</v>
      </c>
      <c r="Q503" s="3">
        <v>0</v>
      </c>
      <c r="R503" s="3">
        <v>9</v>
      </c>
      <c r="S503" s="2">
        <f t="shared" si="16"/>
        <v>116</v>
      </c>
      <c r="T503" s="4">
        <f t="shared" si="17"/>
        <v>1923.0258620689656</v>
      </c>
    </row>
    <row r="504" spans="1:20" hidden="1" x14ac:dyDescent="0.3">
      <c r="A504">
        <v>353870905000438</v>
      </c>
      <c r="B504" t="s">
        <v>217</v>
      </c>
      <c r="C504" t="s">
        <v>108</v>
      </c>
      <c r="D504">
        <v>2</v>
      </c>
      <c r="E504">
        <v>0</v>
      </c>
      <c r="F504" s="1">
        <v>474126</v>
      </c>
      <c r="G504" s="1">
        <v>474126</v>
      </c>
      <c r="H504" s="1">
        <v>0</v>
      </c>
      <c r="I504" s="3">
        <v>3</v>
      </c>
      <c r="J504" s="3">
        <v>9</v>
      </c>
      <c r="K504" s="3">
        <v>34</v>
      </c>
      <c r="L504" s="3">
        <v>88</v>
      </c>
      <c r="M504" s="3">
        <v>81</v>
      </c>
      <c r="N504" s="3">
        <v>20</v>
      </c>
      <c r="O504" s="3">
        <v>6</v>
      </c>
      <c r="P504" s="3">
        <v>2</v>
      </c>
      <c r="Q504" s="3">
        <v>0</v>
      </c>
      <c r="R504" s="3">
        <v>4</v>
      </c>
      <c r="S504" s="2">
        <f t="shared" si="16"/>
        <v>247</v>
      </c>
      <c r="T504" s="4">
        <f t="shared" si="17"/>
        <v>1919.5384615384614</v>
      </c>
    </row>
    <row r="505" spans="1:20" hidden="1" x14ac:dyDescent="0.3">
      <c r="A505">
        <v>353870905000331</v>
      </c>
      <c r="B505" t="s">
        <v>217</v>
      </c>
      <c r="C505" t="s">
        <v>188</v>
      </c>
      <c r="D505">
        <v>1</v>
      </c>
      <c r="E505">
        <v>0</v>
      </c>
      <c r="F505" s="1">
        <v>421884</v>
      </c>
      <c r="G505" s="1">
        <v>421884</v>
      </c>
      <c r="H505" s="1">
        <v>0</v>
      </c>
      <c r="I505" s="3">
        <v>2</v>
      </c>
      <c r="J505" s="3">
        <v>6</v>
      </c>
      <c r="K505" s="3">
        <v>28</v>
      </c>
      <c r="L505" s="3">
        <v>64</v>
      </c>
      <c r="M505" s="3">
        <v>75</v>
      </c>
      <c r="N505" s="3">
        <v>18</v>
      </c>
      <c r="O505" s="3">
        <v>8</v>
      </c>
      <c r="P505" s="3">
        <v>5</v>
      </c>
      <c r="Q505" s="3">
        <v>0</v>
      </c>
      <c r="R505" s="3">
        <v>14</v>
      </c>
      <c r="S505" s="2">
        <f t="shared" si="16"/>
        <v>220</v>
      </c>
      <c r="T505" s="4">
        <f t="shared" si="17"/>
        <v>1917.6545454545455</v>
      </c>
    </row>
    <row r="506" spans="1:20" hidden="1" x14ac:dyDescent="0.3">
      <c r="A506">
        <v>353870905000535</v>
      </c>
      <c r="B506" t="s">
        <v>217</v>
      </c>
      <c r="C506" t="s">
        <v>182</v>
      </c>
      <c r="D506">
        <v>2</v>
      </c>
      <c r="E506">
        <v>9</v>
      </c>
      <c r="F506" s="1">
        <v>500066</v>
      </c>
      <c r="G506" s="1">
        <v>494444</v>
      </c>
      <c r="H506" s="1">
        <v>5622</v>
      </c>
      <c r="I506" s="3">
        <v>3</v>
      </c>
      <c r="J506" s="3">
        <v>7</v>
      </c>
      <c r="K506" s="3">
        <v>37</v>
      </c>
      <c r="L506" s="3">
        <v>92</v>
      </c>
      <c r="M506" s="3">
        <v>82</v>
      </c>
      <c r="N506" s="3">
        <v>19</v>
      </c>
      <c r="O506" s="3">
        <v>8</v>
      </c>
      <c r="P506" s="3">
        <v>4</v>
      </c>
      <c r="Q506" s="3">
        <v>2</v>
      </c>
      <c r="R506" s="3">
        <v>7</v>
      </c>
      <c r="S506" s="2">
        <f t="shared" si="16"/>
        <v>261</v>
      </c>
      <c r="T506" s="4">
        <f t="shared" si="17"/>
        <v>1915.9616858237548</v>
      </c>
    </row>
    <row r="507" spans="1:20" hidden="1" x14ac:dyDescent="0.3">
      <c r="A507">
        <v>353870905000461</v>
      </c>
      <c r="B507" t="s">
        <v>217</v>
      </c>
      <c r="C507" t="s">
        <v>220</v>
      </c>
      <c r="D507">
        <v>1</v>
      </c>
      <c r="E507">
        <v>0</v>
      </c>
      <c r="F507" s="1">
        <v>91936</v>
      </c>
      <c r="G507" s="1">
        <v>91936</v>
      </c>
      <c r="H507" s="1">
        <v>0</v>
      </c>
      <c r="I507" s="3">
        <v>0</v>
      </c>
      <c r="J507" s="3">
        <v>0</v>
      </c>
      <c r="K507" s="3">
        <v>3</v>
      </c>
      <c r="L507" s="3">
        <v>7</v>
      </c>
      <c r="M507" s="3">
        <v>16</v>
      </c>
      <c r="N507" s="3">
        <v>3</v>
      </c>
      <c r="O507" s="3">
        <v>5</v>
      </c>
      <c r="P507" s="3">
        <v>0</v>
      </c>
      <c r="Q507" s="3">
        <v>0</v>
      </c>
      <c r="R507" s="3">
        <v>14</v>
      </c>
      <c r="S507" s="2">
        <f t="shared" si="16"/>
        <v>48</v>
      </c>
      <c r="T507" s="4">
        <f t="shared" si="17"/>
        <v>1915.3333333333333</v>
      </c>
    </row>
    <row r="508" spans="1:20" hidden="1" x14ac:dyDescent="0.3">
      <c r="A508">
        <v>353870935000052</v>
      </c>
      <c r="B508" t="s">
        <v>217</v>
      </c>
      <c r="C508" t="s">
        <v>170</v>
      </c>
      <c r="D508">
        <v>1</v>
      </c>
      <c r="E508">
        <v>1</v>
      </c>
      <c r="F508" s="1">
        <v>521657</v>
      </c>
      <c r="G508" s="1">
        <v>520857</v>
      </c>
      <c r="H508" s="1">
        <v>800</v>
      </c>
      <c r="I508" s="3">
        <v>0</v>
      </c>
      <c r="J508" s="3">
        <v>4</v>
      </c>
      <c r="K508" s="3">
        <v>35</v>
      </c>
      <c r="L508" s="3">
        <v>91</v>
      </c>
      <c r="M508" s="3">
        <v>115</v>
      </c>
      <c r="N508" s="3">
        <v>18</v>
      </c>
      <c r="O508" s="3">
        <v>5</v>
      </c>
      <c r="P508" s="3">
        <v>1</v>
      </c>
      <c r="Q508" s="3">
        <v>0</v>
      </c>
      <c r="R508" s="3">
        <v>7</v>
      </c>
      <c r="S508" s="2">
        <f t="shared" si="16"/>
        <v>276</v>
      </c>
      <c r="T508" s="4">
        <f t="shared" si="17"/>
        <v>1890.0615942028985</v>
      </c>
    </row>
    <row r="509" spans="1:20" hidden="1" x14ac:dyDescent="0.3">
      <c r="A509">
        <v>353870935000027</v>
      </c>
      <c r="B509" t="s">
        <v>217</v>
      </c>
      <c r="C509" t="s">
        <v>161</v>
      </c>
      <c r="D509">
        <v>1</v>
      </c>
      <c r="E509">
        <v>0</v>
      </c>
      <c r="F509" s="1">
        <v>653589</v>
      </c>
      <c r="G509" s="1">
        <v>653589</v>
      </c>
      <c r="H509" s="1">
        <v>0</v>
      </c>
      <c r="I509" s="3">
        <v>3</v>
      </c>
      <c r="J509" s="3">
        <v>3</v>
      </c>
      <c r="K509" s="3">
        <v>40</v>
      </c>
      <c r="L509" s="3">
        <v>113</v>
      </c>
      <c r="M509" s="3">
        <v>123</v>
      </c>
      <c r="N509" s="3">
        <v>26</v>
      </c>
      <c r="O509" s="3">
        <v>11</v>
      </c>
      <c r="P509" s="3">
        <v>1</v>
      </c>
      <c r="Q509" s="3">
        <v>0</v>
      </c>
      <c r="R509" s="3">
        <v>26</v>
      </c>
      <c r="S509" s="2">
        <f t="shared" si="16"/>
        <v>346</v>
      </c>
      <c r="T509" s="4">
        <f t="shared" si="17"/>
        <v>1888.9855491329479</v>
      </c>
    </row>
    <row r="510" spans="1:20" hidden="1" x14ac:dyDescent="0.3">
      <c r="A510">
        <v>353870935000057</v>
      </c>
      <c r="B510" t="s">
        <v>217</v>
      </c>
      <c r="C510" t="s">
        <v>155</v>
      </c>
      <c r="D510">
        <v>1</v>
      </c>
      <c r="E510">
        <v>0</v>
      </c>
      <c r="F510" s="1">
        <v>313480</v>
      </c>
      <c r="G510" s="1">
        <v>313480</v>
      </c>
      <c r="H510" s="1">
        <v>0</v>
      </c>
      <c r="I510" s="3">
        <v>0</v>
      </c>
      <c r="J510" s="3">
        <v>2</v>
      </c>
      <c r="K510" s="3">
        <v>12</v>
      </c>
      <c r="L510" s="3">
        <v>69</v>
      </c>
      <c r="M510" s="3">
        <v>64</v>
      </c>
      <c r="N510" s="3">
        <v>14</v>
      </c>
      <c r="O510" s="3">
        <v>3</v>
      </c>
      <c r="P510" s="3">
        <v>0</v>
      </c>
      <c r="Q510" s="3">
        <v>0</v>
      </c>
      <c r="R510" s="3">
        <v>2</v>
      </c>
      <c r="S510" s="2">
        <f t="shared" si="16"/>
        <v>166</v>
      </c>
      <c r="T510" s="4">
        <f t="shared" si="17"/>
        <v>1888.433734939759</v>
      </c>
    </row>
    <row r="511" spans="1:20" hidden="1" x14ac:dyDescent="0.3">
      <c r="A511">
        <v>353870905000337</v>
      </c>
      <c r="B511" t="s">
        <v>217</v>
      </c>
      <c r="C511" t="s">
        <v>188</v>
      </c>
      <c r="D511">
        <v>1</v>
      </c>
      <c r="E511">
        <v>0</v>
      </c>
      <c r="F511" s="1">
        <v>561706</v>
      </c>
      <c r="G511" s="1">
        <v>561706</v>
      </c>
      <c r="H511" s="1">
        <v>0</v>
      </c>
      <c r="I511" s="3">
        <v>2</v>
      </c>
      <c r="J511" s="3">
        <v>6</v>
      </c>
      <c r="K511" s="3">
        <v>46</v>
      </c>
      <c r="L511" s="3">
        <v>116</v>
      </c>
      <c r="M511" s="3">
        <v>83</v>
      </c>
      <c r="N511" s="3">
        <v>27</v>
      </c>
      <c r="O511" s="3">
        <v>7</v>
      </c>
      <c r="P511" s="3">
        <v>1</v>
      </c>
      <c r="Q511" s="3">
        <v>1</v>
      </c>
      <c r="R511" s="3">
        <v>9</v>
      </c>
      <c r="S511" s="2">
        <f t="shared" si="16"/>
        <v>298</v>
      </c>
      <c r="T511" s="4">
        <f t="shared" si="17"/>
        <v>1884.9194630872482</v>
      </c>
    </row>
    <row r="512" spans="1:20" hidden="1" x14ac:dyDescent="0.3">
      <c r="A512">
        <v>353870905000161</v>
      </c>
      <c r="B512" t="s">
        <v>217</v>
      </c>
      <c r="C512" t="s">
        <v>116</v>
      </c>
      <c r="D512">
        <v>1</v>
      </c>
      <c r="E512">
        <v>0</v>
      </c>
      <c r="F512" s="1">
        <v>267543</v>
      </c>
      <c r="G512" s="1">
        <v>267543</v>
      </c>
      <c r="H512" s="1">
        <v>0</v>
      </c>
      <c r="I512" s="3">
        <v>0</v>
      </c>
      <c r="J512" s="3">
        <v>0</v>
      </c>
      <c r="K512" s="3">
        <v>14</v>
      </c>
      <c r="L512" s="3">
        <v>45</v>
      </c>
      <c r="M512" s="3">
        <v>60</v>
      </c>
      <c r="N512" s="3">
        <v>17</v>
      </c>
      <c r="O512" s="3">
        <v>2</v>
      </c>
      <c r="P512" s="3">
        <v>1</v>
      </c>
      <c r="Q512" s="3">
        <v>0</v>
      </c>
      <c r="R512" s="3">
        <v>3</v>
      </c>
      <c r="S512" s="2">
        <f t="shared" si="16"/>
        <v>142</v>
      </c>
      <c r="T512" s="4">
        <f t="shared" si="17"/>
        <v>1884.105633802817</v>
      </c>
    </row>
    <row r="513" spans="1:20" hidden="1" x14ac:dyDescent="0.3">
      <c r="A513">
        <v>353870935000030</v>
      </c>
      <c r="B513" t="s">
        <v>217</v>
      </c>
      <c r="C513" t="s">
        <v>161</v>
      </c>
      <c r="D513">
        <v>1</v>
      </c>
      <c r="E513">
        <v>0</v>
      </c>
      <c r="F513" s="1">
        <v>308705</v>
      </c>
      <c r="G513" s="1">
        <v>308705</v>
      </c>
      <c r="H513" s="1">
        <v>0</v>
      </c>
      <c r="I513" s="3">
        <v>0</v>
      </c>
      <c r="J513" s="3">
        <v>6</v>
      </c>
      <c r="K513" s="3">
        <v>17</v>
      </c>
      <c r="L513" s="3">
        <v>67</v>
      </c>
      <c r="M513" s="3">
        <v>55</v>
      </c>
      <c r="N513" s="3">
        <v>7</v>
      </c>
      <c r="O513" s="3">
        <v>4</v>
      </c>
      <c r="P513" s="3">
        <v>0</v>
      </c>
      <c r="Q513" s="3">
        <v>0</v>
      </c>
      <c r="R513" s="3">
        <v>8</v>
      </c>
      <c r="S513" s="2">
        <f t="shared" si="16"/>
        <v>164</v>
      </c>
      <c r="T513" s="4">
        <f t="shared" si="17"/>
        <v>1882.3475609756097</v>
      </c>
    </row>
    <row r="514" spans="1:20" hidden="1" x14ac:dyDescent="0.3">
      <c r="A514">
        <v>353870905000246</v>
      </c>
      <c r="B514" t="s">
        <v>217</v>
      </c>
      <c r="C514" t="s">
        <v>96</v>
      </c>
      <c r="D514">
        <v>1</v>
      </c>
      <c r="E514">
        <v>0</v>
      </c>
      <c r="F514" s="1">
        <v>261626</v>
      </c>
      <c r="G514" s="1">
        <v>261626</v>
      </c>
      <c r="H514" s="1">
        <v>0</v>
      </c>
      <c r="I514" s="3">
        <v>3</v>
      </c>
      <c r="J514" s="3">
        <v>6</v>
      </c>
      <c r="K514" s="3">
        <v>18</v>
      </c>
      <c r="L514" s="3">
        <v>45</v>
      </c>
      <c r="M514" s="3">
        <v>43</v>
      </c>
      <c r="N514" s="3">
        <v>16</v>
      </c>
      <c r="O514" s="3">
        <v>2</v>
      </c>
      <c r="P514" s="3">
        <v>0</v>
      </c>
      <c r="Q514" s="3">
        <v>1</v>
      </c>
      <c r="R514" s="3">
        <v>5</v>
      </c>
      <c r="S514" s="2">
        <f t="shared" si="16"/>
        <v>139</v>
      </c>
      <c r="T514" s="4">
        <f t="shared" si="17"/>
        <v>1882.2014388489208</v>
      </c>
    </row>
    <row r="515" spans="1:20" hidden="1" x14ac:dyDescent="0.3">
      <c r="A515">
        <v>353870935000058</v>
      </c>
      <c r="B515" t="s">
        <v>217</v>
      </c>
      <c r="C515" t="s">
        <v>155</v>
      </c>
      <c r="D515">
        <v>1</v>
      </c>
      <c r="E515">
        <v>0</v>
      </c>
      <c r="F515" s="1">
        <v>343964</v>
      </c>
      <c r="G515" s="1">
        <v>343964</v>
      </c>
      <c r="H515" s="1">
        <v>0</v>
      </c>
      <c r="I515" s="3">
        <v>0</v>
      </c>
      <c r="J515" s="3">
        <v>4</v>
      </c>
      <c r="K515" s="3">
        <v>22</v>
      </c>
      <c r="L515" s="3">
        <v>62</v>
      </c>
      <c r="M515" s="3">
        <v>54</v>
      </c>
      <c r="N515" s="3">
        <v>17</v>
      </c>
      <c r="O515" s="3">
        <v>7</v>
      </c>
      <c r="P515" s="3">
        <v>1</v>
      </c>
      <c r="Q515" s="3">
        <v>1</v>
      </c>
      <c r="R515" s="3">
        <v>15</v>
      </c>
      <c r="S515" s="2">
        <f t="shared" ref="S515:S578" si="18">SUM(I515:R515)</f>
        <v>183</v>
      </c>
      <c r="T515" s="4">
        <f t="shared" ref="T515:T578" si="19">F515/S515</f>
        <v>1879.5846994535518</v>
      </c>
    </row>
    <row r="516" spans="1:20" hidden="1" x14ac:dyDescent="0.3">
      <c r="A516">
        <v>353870905000301</v>
      </c>
      <c r="B516" t="s">
        <v>217</v>
      </c>
      <c r="C516" t="s">
        <v>19</v>
      </c>
      <c r="D516">
        <v>2</v>
      </c>
      <c r="E516">
        <v>0</v>
      </c>
      <c r="F516" s="1">
        <v>619914</v>
      </c>
      <c r="G516" s="1">
        <v>619914</v>
      </c>
      <c r="H516" s="1">
        <v>0</v>
      </c>
      <c r="I516" s="3">
        <v>0</v>
      </c>
      <c r="J516" s="3">
        <v>11</v>
      </c>
      <c r="K516" s="3">
        <v>40</v>
      </c>
      <c r="L516" s="3">
        <v>120</v>
      </c>
      <c r="M516" s="3">
        <v>112</v>
      </c>
      <c r="N516" s="3">
        <v>20</v>
      </c>
      <c r="O516" s="3">
        <v>11</v>
      </c>
      <c r="P516" s="3">
        <v>5</v>
      </c>
      <c r="Q516" s="3">
        <v>0</v>
      </c>
      <c r="R516" s="3">
        <v>12</v>
      </c>
      <c r="S516" s="2">
        <f t="shared" si="18"/>
        <v>331</v>
      </c>
      <c r="T516" s="4">
        <f t="shared" si="19"/>
        <v>1872.8519637462236</v>
      </c>
    </row>
    <row r="517" spans="1:20" hidden="1" x14ac:dyDescent="0.3">
      <c r="A517">
        <v>353870935000007</v>
      </c>
      <c r="B517" t="s">
        <v>217</v>
      </c>
      <c r="C517" t="s">
        <v>170</v>
      </c>
      <c r="D517">
        <v>1</v>
      </c>
      <c r="E517">
        <v>0</v>
      </c>
      <c r="F517" s="1">
        <v>200084</v>
      </c>
      <c r="G517" s="1">
        <v>200084</v>
      </c>
      <c r="H517" s="1">
        <v>0</v>
      </c>
      <c r="I517" s="3">
        <v>1</v>
      </c>
      <c r="J517" s="3">
        <v>1</v>
      </c>
      <c r="K517" s="3">
        <v>15</v>
      </c>
      <c r="L517" s="3">
        <v>32</v>
      </c>
      <c r="M517" s="3">
        <v>47</v>
      </c>
      <c r="N517" s="3">
        <v>7</v>
      </c>
      <c r="O517" s="3">
        <v>3</v>
      </c>
      <c r="P517" s="3">
        <v>0</v>
      </c>
      <c r="Q517" s="3">
        <v>0</v>
      </c>
      <c r="R517" s="3">
        <v>1</v>
      </c>
      <c r="S517" s="2">
        <f t="shared" si="18"/>
        <v>107</v>
      </c>
      <c r="T517" s="4">
        <f t="shared" si="19"/>
        <v>1869.9439252336449</v>
      </c>
    </row>
    <row r="518" spans="1:20" hidden="1" x14ac:dyDescent="0.3">
      <c r="A518">
        <v>353870905000562</v>
      </c>
      <c r="B518" t="s">
        <v>217</v>
      </c>
      <c r="C518" t="s">
        <v>108</v>
      </c>
      <c r="D518">
        <v>1</v>
      </c>
      <c r="E518">
        <v>0</v>
      </c>
      <c r="F518" s="1">
        <v>128637</v>
      </c>
      <c r="G518" s="1">
        <v>128637</v>
      </c>
      <c r="H518" s="1">
        <v>0</v>
      </c>
      <c r="I518" s="3">
        <v>0</v>
      </c>
      <c r="J518" s="3">
        <v>1</v>
      </c>
      <c r="K518" s="3">
        <v>7</v>
      </c>
      <c r="L518" s="3">
        <v>27</v>
      </c>
      <c r="M518" s="3">
        <v>21</v>
      </c>
      <c r="N518" s="3">
        <v>6</v>
      </c>
      <c r="O518" s="3">
        <v>2</v>
      </c>
      <c r="P518" s="3">
        <v>2</v>
      </c>
      <c r="Q518" s="3">
        <v>0</v>
      </c>
      <c r="R518" s="3">
        <v>3</v>
      </c>
      <c r="S518" s="2">
        <f t="shared" si="18"/>
        <v>69</v>
      </c>
      <c r="T518" s="4">
        <f t="shared" si="19"/>
        <v>1864.304347826087</v>
      </c>
    </row>
    <row r="519" spans="1:20" hidden="1" x14ac:dyDescent="0.3">
      <c r="A519">
        <v>353870905000436</v>
      </c>
      <c r="B519" t="s">
        <v>217</v>
      </c>
      <c r="C519" t="s">
        <v>119</v>
      </c>
      <c r="D519">
        <v>1</v>
      </c>
      <c r="E519">
        <v>0</v>
      </c>
      <c r="F519" s="1">
        <v>472684</v>
      </c>
      <c r="G519" s="1">
        <v>472684</v>
      </c>
      <c r="H519" s="1">
        <v>0</v>
      </c>
      <c r="I519" s="3">
        <v>0</v>
      </c>
      <c r="J519" s="3">
        <v>1</v>
      </c>
      <c r="K519" s="3">
        <v>37</v>
      </c>
      <c r="L519" s="3">
        <v>92</v>
      </c>
      <c r="M519" s="3">
        <v>86</v>
      </c>
      <c r="N519" s="3">
        <v>14</v>
      </c>
      <c r="O519" s="3">
        <v>4</v>
      </c>
      <c r="P519" s="3">
        <v>2</v>
      </c>
      <c r="Q519" s="3">
        <v>0</v>
      </c>
      <c r="R519" s="3">
        <v>18</v>
      </c>
      <c r="S519" s="2">
        <f t="shared" si="18"/>
        <v>254</v>
      </c>
      <c r="T519" s="4">
        <f t="shared" si="19"/>
        <v>1860.9606299212599</v>
      </c>
    </row>
    <row r="520" spans="1:20" hidden="1" x14ac:dyDescent="0.3">
      <c r="A520">
        <v>353870905000347</v>
      </c>
      <c r="B520" t="s">
        <v>217</v>
      </c>
      <c r="C520" t="s">
        <v>173</v>
      </c>
      <c r="D520">
        <v>1</v>
      </c>
      <c r="E520">
        <v>0</v>
      </c>
      <c r="F520" s="1">
        <v>460692</v>
      </c>
      <c r="G520" s="1">
        <v>460692</v>
      </c>
      <c r="H520" s="1">
        <v>0</v>
      </c>
      <c r="I520" s="3">
        <v>0</v>
      </c>
      <c r="J520" s="3">
        <v>9</v>
      </c>
      <c r="K520" s="3">
        <v>30</v>
      </c>
      <c r="L520" s="3">
        <v>106</v>
      </c>
      <c r="M520" s="3">
        <v>79</v>
      </c>
      <c r="N520" s="3">
        <v>14</v>
      </c>
      <c r="O520" s="3">
        <v>4</v>
      </c>
      <c r="P520" s="3">
        <v>1</v>
      </c>
      <c r="Q520" s="3">
        <v>0</v>
      </c>
      <c r="R520" s="3">
        <v>5</v>
      </c>
      <c r="S520" s="2">
        <f t="shared" si="18"/>
        <v>248</v>
      </c>
      <c r="T520" s="4">
        <f t="shared" si="19"/>
        <v>1857.6290322580646</v>
      </c>
    </row>
    <row r="521" spans="1:20" hidden="1" x14ac:dyDescent="0.3">
      <c r="A521">
        <v>353870905000383</v>
      </c>
      <c r="B521" t="s">
        <v>217</v>
      </c>
      <c r="C521" t="s">
        <v>119</v>
      </c>
      <c r="D521">
        <v>1</v>
      </c>
      <c r="E521">
        <v>0</v>
      </c>
      <c r="F521" s="1">
        <v>381954</v>
      </c>
      <c r="G521" s="1">
        <v>381954</v>
      </c>
      <c r="H521" s="1">
        <v>0</v>
      </c>
      <c r="I521" s="3">
        <v>3</v>
      </c>
      <c r="J521" s="3">
        <v>3</v>
      </c>
      <c r="K521" s="3">
        <v>26</v>
      </c>
      <c r="L521" s="3">
        <v>49</v>
      </c>
      <c r="M521" s="3">
        <v>70</v>
      </c>
      <c r="N521" s="3">
        <v>21</v>
      </c>
      <c r="O521" s="3">
        <v>9</v>
      </c>
      <c r="P521" s="3">
        <v>0</v>
      </c>
      <c r="Q521" s="3">
        <v>0</v>
      </c>
      <c r="R521" s="3">
        <v>25</v>
      </c>
      <c r="S521" s="2">
        <f t="shared" si="18"/>
        <v>206</v>
      </c>
      <c r="T521" s="4">
        <f t="shared" si="19"/>
        <v>1854.1456310679612</v>
      </c>
    </row>
    <row r="522" spans="1:20" hidden="1" x14ac:dyDescent="0.3">
      <c r="A522">
        <v>353870905000154</v>
      </c>
      <c r="B522" t="s">
        <v>217</v>
      </c>
      <c r="C522" t="s">
        <v>116</v>
      </c>
      <c r="D522">
        <v>1</v>
      </c>
      <c r="E522">
        <v>0</v>
      </c>
      <c r="F522" s="1">
        <v>320207</v>
      </c>
      <c r="G522" s="1">
        <v>320207</v>
      </c>
      <c r="H522" s="1">
        <v>0</v>
      </c>
      <c r="I522" s="3">
        <v>0</v>
      </c>
      <c r="J522" s="3">
        <v>3</v>
      </c>
      <c r="K522" s="3">
        <v>15</v>
      </c>
      <c r="L522" s="3">
        <v>51</v>
      </c>
      <c r="M522" s="3">
        <v>59</v>
      </c>
      <c r="N522" s="3">
        <v>19</v>
      </c>
      <c r="O522" s="3">
        <v>10</v>
      </c>
      <c r="P522" s="3">
        <v>1</v>
      </c>
      <c r="Q522" s="3">
        <v>0</v>
      </c>
      <c r="R522" s="3">
        <v>15</v>
      </c>
      <c r="S522" s="2">
        <f t="shared" si="18"/>
        <v>173</v>
      </c>
      <c r="T522" s="4">
        <f t="shared" si="19"/>
        <v>1850.907514450867</v>
      </c>
    </row>
    <row r="523" spans="1:20" hidden="1" x14ac:dyDescent="0.3">
      <c r="A523">
        <v>353870935000044</v>
      </c>
      <c r="B523" t="s">
        <v>217</v>
      </c>
      <c r="C523" t="s">
        <v>170</v>
      </c>
      <c r="D523">
        <v>2</v>
      </c>
      <c r="E523">
        <v>0</v>
      </c>
      <c r="F523" s="1">
        <v>423098</v>
      </c>
      <c r="G523" s="1">
        <v>423098</v>
      </c>
      <c r="H523" s="1">
        <v>0</v>
      </c>
      <c r="I523" s="3">
        <v>0</v>
      </c>
      <c r="J523" s="3">
        <v>2</v>
      </c>
      <c r="K523" s="3">
        <v>28</v>
      </c>
      <c r="L523" s="3">
        <v>57</v>
      </c>
      <c r="M523" s="3">
        <v>99</v>
      </c>
      <c r="N523" s="3">
        <v>16</v>
      </c>
      <c r="O523" s="3">
        <v>6</v>
      </c>
      <c r="P523" s="3">
        <v>1</v>
      </c>
      <c r="Q523" s="3">
        <v>1</v>
      </c>
      <c r="R523" s="3">
        <v>19</v>
      </c>
      <c r="S523" s="2">
        <f t="shared" si="18"/>
        <v>229</v>
      </c>
      <c r="T523" s="4">
        <f t="shared" si="19"/>
        <v>1847.5895196506551</v>
      </c>
    </row>
    <row r="524" spans="1:20" hidden="1" x14ac:dyDescent="0.3">
      <c r="A524">
        <v>353870905000260</v>
      </c>
      <c r="B524" t="s">
        <v>217</v>
      </c>
      <c r="C524" t="s">
        <v>135</v>
      </c>
      <c r="D524">
        <v>1</v>
      </c>
      <c r="E524">
        <v>0</v>
      </c>
      <c r="F524" s="1">
        <v>291354</v>
      </c>
      <c r="G524" s="1">
        <v>291354</v>
      </c>
      <c r="H524" s="1">
        <v>0</v>
      </c>
      <c r="I524" s="3">
        <v>1</v>
      </c>
      <c r="J524" s="3">
        <v>2</v>
      </c>
      <c r="K524" s="3">
        <v>25</v>
      </c>
      <c r="L524" s="3">
        <v>39</v>
      </c>
      <c r="M524" s="3">
        <v>62</v>
      </c>
      <c r="N524" s="3">
        <v>17</v>
      </c>
      <c r="O524" s="3">
        <v>4</v>
      </c>
      <c r="P524" s="3">
        <v>2</v>
      </c>
      <c r="Q524" s="3">
        <v>0</v>
      </c>
      <c r="R524" s="3">
        <v>6</v>
      </c>
      <c r="S524" s="2">
        <f t="shared" si="18"/>
        <v>158</v>
      </c>
      <c r="T524" s="4">
        <f t="shared" si="19"/>
        <v>1844.0126582278481</v>
      </c>
    </row>
    <row r="525" spans="1:20" hidden="1" x14ac:dyDescent="0.3">
      <c r="A525">
        <v>353870935000049</v>
      </c>
      <c r="B525" t="s">
        <v>217</v>
      </c>
      <c r="C525" t="s">
        <v>170</v>
      </c>
      <c r="D525">
        <v>1</v>
      </c>
      <c r="E525">
        <v>1</v>
      </c>
      <c r="F525" s="1">
        <v>486637</v>
      </c>
      <c r="G525" s="1">
        <v>485937</v>
      </c>
      <c r="H525" s="1">
        <v>700</v>
      </c>
      <c r="I525" s="3">
        <v>2</v>
      </c>
      <c r="J525" s="3">
        <v>6</v>
      </c>
      <c r="K525" s="3">
        <v>47</v>
      </c>
      <c r="L525" s="3">
        <v>71</v>
      </c>
      <c r="M525" s="3">
        <v>103</v>
      </c>
      <c r="N525" s="3">
        <v>26</v>
      </c>
      <c r="O525" s="3">
        <v>4</v>
      </c>
      <c r="P525" s="3">
        <v>0</v>
      </c>
      <c r="Q525" s="3">
        <v>0</v>
      </c>
      <c r="R525" s="3">
        <v>5</v>
      </c>
      <c r="S525" s="2">
        <f t="shared" si="18"/>
        <v>264</v>
      </c>
      <c r="T525" s="4">
        <f t="shared" si="19"/>
        <v>1843.3219696969697</v>
      </c>
    </row>
    <row r="526" spans="1:20" hidden="1" x14ac:dyDescent="0.3">
      <c r="A526">
        <v>353870905000203</v>
      </c>
      <c r="B526" t="s">
        <v>217</v>
      </c>
      <c r="C526" t="s">
        <v>127</v>
      </c>
      <c r="D526">
        <v>1</v>
      </c>
      <c r="E526">
        <v>0</v>
      </c>
      <c r="F526" s="1">
        <v>228473</v>
      </c>
      <c r="G526" s="1">
        <v>228473</v>
      </c>
      <c r="H526" s="1">
        <v>0</v>
      </c>
      <c r="I526" s="3">
        <v>2</v>
      </c>
      <c r="J526" s="3">
        <v>1</v>
      </c>
      <c r="K526" s="3">
        <v>10</v>
      </c>
      <c r="L526" s="3">
        <v>24</v>
      </c>
      <c r="M526" s="3">
        <v>32</v>
      </c>
      <c r="N526" s="3">
        <v>10</v>
      </c>
      <c r="O526" s="3">
        <v>11</v>
      </c>
      <c r="P526" s="3">
        <v>1</v>
      </c>
      <c r="Q526" s="3">
        <v>0</v>
      </c>
      <c r="R526" s="3">
        <v>33</v>
      </c>
      <c r="S526" s="2">
        <f t="shared" si="18"/>
        <v>124</v>
      </c>
      <c r="T526" s="4">
        <f t="shared" si="19"/>
        <v>1842.5241935483871</v>
      </c>
    </row>
    <row r="527" spans="1:20" hidden="1" x14ac:dyDescent="0.3">
      <c r="A527">
        <v>353870925000001</v>
      </c>
      <c r="B527" t="s">
        <v>217</v>
      </c>
      <c r="C527" t="s">
        <v>218</v>
      </c>
      <c r="D527">
        <v>1</v>
      </c>
      <c r="E527">
        <v>0</v>
      </c>
      <c r="F527" s="1">
        <v>386571</v>
      </c>
      <c r="G527" s="1">
        <v>386571</v>
      </c>
      <c r="H527" s="1">
        <v>0</v>
      </c>
      <c r="I527" s="3">
        <v>1</v>
      </c>
      <c r="J527" s="3">
        <v>9</v>
      </c>
      <c r="K527" s="3">
        <v>27</v>
      </c>
      <c r="L527" s="3">
        <v>83</v>
      </c>
      <c r="M527" s="3">
        <v>72</v>
      </c>
      <c r="N527" s="3">
        <v>9</v>
      </c>
      <c r="O527" s="3">
        <v>4</v>
      </c>
      <c r="P527" s="3">
        <v>1</v>
      </c>
      <c r="Q527" s="3">
        <v>0</v>
      </c>
      <c r="R527" s="3">
        <v>4</v>
      </c>
      <c r="S527" s="2">
        <f t="shared" si="18"/>
        <v>210</v>
      </c>
      <c r="T527" s="4">
        <f t="shared" si="19"/>
        <v>1840.8142857142857</v>
      </c>
    </row>
    <row r="528" spans="1:20" hidden="1" x14ac:dyDescent="0.3">
      <c r="A528">
        <v>353870905000350</v>
      </c>
      <c r="B528" t="s">
        <v>217</v>
      </c>
      <c r="C528" t="s">
        <v>173</v>
      </c>
      <c r="D528">
        <v>1</v>
      </c>
      <c r="E528">
        <v>0</v>
      </c>
      <c r="F528" s="1">
        <v>517225</v>
      </c>
      <c r="G528" s="1">
        <v>517225</v>
      </c>
      <c r="H528" s="1">
        <v>0</v>
      </c>
      <c r="I528" s="3">
        <v>2</v>
      </c>
      <c r="J528" s="3">
        <v>10</v>
      </c>
      <c r="K528" s="3">
        <v>27</v>
      </c>
      <c r="L528" s="3">
        <v>100</v>
      </c>
      <c r="M528" s="3">
        <v>110</v>
      </c>
      <c r="N528" s="3">
        <v>23</v>
      </c>
      <c r="O528" s="3">
        <v>7</v>
      </c>
      <c r="P528" s="3">
        <v>0</v>
      </c>
      <c r="Q528" s="3">
        <v>0</v>
      </c>
      <c r="R528" s="3">
        <v>2</v>
      </c>
      <c r="S528" s="2">
        <f t="shared" si="18"/>
        <v>281</v>
      </c>
      <c r="T528" s="4">
        <f t="shared" si="19"/>
        <v>1840.6583629893239</v>
      </c>
    </row>
    <row r="529" spans="1:20" hidden="1" x14ac:dyDescent="0.3">
      <c r="A529">
        <v>353870905000492</v>
      </c>
      <c r="B529" t="s">
        <v>217</v>
      </c>
      <c r="C529" t="s">
        <v>145</v>
      </c>
      <c r="D529">
        <v>1</v>
      </c>
      <c r="E529">
        <v>0</v>
      </c>
      <c r="F529" s="1">
        <v>55195</v>
      </c>
      <c r="G529" s="1">
        <v>55195</v>
      </c>
      <c r="H529" s="1">
        <v>0</v>
      </c>
      <c r="I529" s="3">
        <v>0</v>
      </c>
      <c r="J529" s="3">
        <v>0</v>
      </c>
      <c r="K529" s="3">
        <v>3</v>
      </c>
      <c r="L529" s="3">
        <v>10</v>
      </c>
      <c r="M529" s="3">
        <v>11</v>
      </c>
      <c r="N529" s="3">
        <v>3</v>
      </c>
      <c r="O529" s="3">
        <v>1</v>
      </c>
      <c r="P529" s="3">
        <v>1</v>
      </c>
      <c r="Q529" s="3">
        <v>0</v>
      </c>
      <c r="R529" s="3">
        <v>1</v>
      </c>
      <c r="S529" s="2">
        <f t="shared" si="18"/>
        <v>30</v>
      </c>
      <c r="T529" s="4">
        <f t="shared" si="19"/>
        <v>1839.8333333333333</v>
      </c>
    </row>
    <row r="530" spans="1:20" hidden="1" x14ac:dyDescent="0.3">
      <c r="A530">
        <v>353870905000410</v>
      </c>
      <c r="B530" t="s">
        <v>217</v>
      </c>
      <c r="C530" t="s">
        <v>182</v>
      </c>
      <c r="D530">
        <v>1</v>
      </c>
      <c r="E530">
        <v>0</v>
      </c>
      <c r="F530" s="1">
        <v>423151</v>
      </c>
      <c r="G530" s="1">
        <v>423151</v>
      </c>
      <c r="H530" s="1">
        <v>0</v>
      </c>
      <c r="I530" s="3">
        <v>0</v>
      </c>
      <c r="J530" s="3">
        <v>4</v>
      </c>
      <c r="K530" s="3">
        <v>27</v>
      </c>
      <c r="L530" s="3">
        <v>97</v>
      </c>
      <c r="M530" s="3">
        <v>79</v>
      </c>
      <c r="N530" s="3">
        <v>14</v>
      </c>
      <c r="O530" s="3">
        <v>4</v>
      </c>
      <c r="P530" s="3">
        <v>2</v>
      </c>
      <c r="Q530" s="3">
        <v>0</v>
      </c>
      <c r="R530" s="3">
        <v>3</v>
      </c>
      <c r="S530" s="2">
        <f t="shared" si="18"/>
        <v>230</v>
      </c>
      <c r="T530" s="4">
        <f t="shared" si="19"/>
        <v>1839.7869565217391</v>
      </c>
    </row>
    <row r="531" spans="1:20" hidden="1" x14ac:dyDescent="0.3">
      <c r="A531">
        <v>353870935000031</v>
      </c>
      <c r="B531" t="s">
        <v>217</v>
      </c>
      <c r="C531" t="s">
        <v>161</v>
      </c>
      <c r="D531">
        <v>1</v>
      </c>
      <c r="E531">
        <v>0</v>
      </c>
      <c r="F531" s="1">
        <v>263061</v>
      </c>
      <c r="G531" s="1">
        <v>263061</v>
      </c>
      <c r="H531" s="1">
        <v>0</v>
      </c>
      <c r="I531" s="3">
        <v>0</v>
      </c>
      <c r="J531" s="3">
        <v>4</v>
      </c>
      <c r="K531" s="3">
        <v>16</v>
      </c>
      <c r="L531" s="3">
        <v>51</v>
      </c>
      <c r="M531" s="3">
        <v>57</v>
      </c>
      <c r="N531" s="3">
        <v>10</v>
      </c>
      <c r="O531" s="3">
        <v>3</v>
      </c>
      <c r="P531" s="3">
        <v>0</v>
      </c>
      <c r="Q531" s="3">
        <v>0</v>
      </c>
      <c r="R531" s="3">
        <v>2</v>
      </c>
      <c r="S531" s="2">
        <f t="shared" si="18"/>
        <v>143</v>
      </c>
      <c r="T531" s="4">
        <f t="shared" si="19"/>
        <v>1839.5874125874127</v>
      </c>
    </row>
    <row r="532" spans="1:20" hidden="1" x14ac:dyDescent="0.3">
      <c r="A532">
        <v>353870905000472</v>
      </c>
      <c r="B532" t="s">
        <v>217</v>
      </c>
      <c r="C532" t="s">
        <v>145</v>
      </c>
      <c r="D532">
        <v>1</v>
      </c>
      <c r="E532">
        <v>0</v>
      </c>
      <c r="F532" s="1">
        <v>71644</v>
      </c>
      <c r="G532" s="1">
        <v>71644</v>
      </c>
      <c r="H532" s="1">
        <v>0</v>
      </c>
      <c r="I532" s="3">
        <v>0</v>
      </c>
      <c r="J532" s="3">
        <v>0</v>
      </c>
      <c r="K532" s="3">
        <v>4</v>
      </c>
      <c r="L532" s="3">
        <v>11</v>
      </c>
      <c r="M532" s="3">
        <v>17</v>
      </c>
      <c r="N532" s="3">
        <v>5</v>
      </c>
      <c r="O532" s="3">
        <v>0</v>
      </c>
      <c r="P532" s="3">
        <v>0</v>
      </c>
      <c r="Q532" s="3">
        <v>0</v>
      </c>
      <c r="R532" s="3">
        <v>2</v>
      </c>
      <c r="S532" s="2">
        <f t="shared" si="18"/>
        <v>39</v>
      </c>
      <c r="T532" s="4">
        <f t="shared" si="19"/>
        <v>1837.0256410256411</v>
      </c>
    </row>
    <row r="533" spans="1:20" hidden="1" x14ac:dyDescent="0.3">
      <c r="A533">
        <v>353870905000566</v>
      </c>
      <c r="B533" t="s">
        <v>217</v>
      </c>
      <c r="C533" t="s">
        <v>173</v>
      </c>
      <c r="D533">
        <v>1</v>
      </c>
      <c r="E533">
        <v>0</v>
      </c>
      <c r="F533" s="1">
        <v>214324</v>
      </c>
      <c r="G533" s="1">
        <v>214324</v>
      </c>
      <c r="H533" s="1">
        <v>0</v>
      </c>
      <c r="I533" s="3">
        <v>0</v>
      </c>
      <c r="J533" s="3">
        <v>2</v>
      </c>
      <c r="K533" s="3">
        <v>16</v>
      </c>
      <c r="L533" s="3">
        <v>52</v>
      </c>
      <c r="M533" s="3">
        <v>32</v>
      </c>
      <c r="N533" s="3">
        <v>8</v>
      </c>
      <c r="O533" s="3">
        <v>2</v>
      </c>
      <c r="P533" s="3">
        <v>0</v>
      </c>
      <c r="Q533" s="3">
        <v>0</v>
      </c>
      <c r="R533" s="3">
        <v>5</v>
      </c>
      <c r="S533" s="2">
        <f t="shared" si="18"/>
        <v>117</v>
      </c>
      <c r="T533" s="4">
        <f t="shared" si="19"/>
        <v>1831.8290598290598</v>
      </c>
    </row>
    <row r="534" spans="1:20" hidden="1" x14ac:dyDescent="0.3">
      <c r="A534">
        <v>353870905000261</v>
      </c>
      <c r="B534" t="s">
        <v>217</v>
      </c>
      <c r="C534" t="s">
        <v>173</v>
      </c>
      <c r="D534">
        <v>1</v>
      </c>
      <c r="E534">
        <v>0</v>
      </c>
      <c r="F534" s="1">
        <v>491219</v>
      </c>
      <c r="G534" s="1">
        <v>491219</v>
      </c>
      <c r="H534" s="1">
        <v>0</v>
      </c>
      <c r="I534" s="3">
        <v>1</v>
      </c>
      <c r="J534" s="3">
        <v>7</v>
      </c>
      <c r="K534" s="3">
        <v>37</v>
      </c>
      <c r="L534" s="3">
        <v>88</v>
      </c>
      <c r="M534" s="3">
        <v>108</v>
      </c>
      <c r="N534" s="3">
        <v>16</v>
      </c>
      <c r="O534" s="3">
        <v>7</v>
      </c>
      <c r="P534" s="3">
        <v>1</v>
      </c>
      <c r="Q534" s="3">
        <v>0</v>
      </c>
      <c r="R534" s="3">
        <v>4</v>
      </c>
      <c r="S534" s="2">
        <f t="shared" si="18"/>
        <v>269</v>
      </c>
      <c r="T534" s="4">
        <f t="shared" si="19"/>
        <v>1826.092936802974</v>
      </c>
    </row>
    <row r="535" spans="1:20" hidden="1" x14ac:dyDescent="0.3">
      <c r="A535">
        <v>353870935000047</v>
      </c>
      <c r="B535" t="s">
        <v>217</v>
      </c>
      <c r="C535" t="s">
        <v>170</v>
      </c>
      <c r="D535">
        <v>1</v>
      </c>
      <c r="E535">
        <v>0</v>
      </c>
      <c r="F535" s="1">
        <v>328496</v>
      </c>
      <c r="G535" s="1">
        <v>328496</v>
      </c>
      <c r="H535" s="1">
        <v>0</v>
      </c>
      <c r="I535" s="3">
        <v>0</v>
      </c>
      <c r="J535" s="3">
        <v>7</v>
      </c>
      <c r="K535" s="3">
        <v>19</v>
      </c>
      <c r="L535" s="3">
        <v>52</v>
      </c>
      <c r="M535" s="3">
        <v>74</v>
      </c>
      <c r="N535" s="3">
        <v>14</v>
      </c>
      <c r="O535" s="3">
        <v>5</v>
      </c>
      <c r="P535" s="3">
        <v>0</v>
      </c>
      <c r="Q535" s="3">
        <v>0</v>
      </c>
      <c r="R535" s="3">
        <v>9</v>
      </c>
      <c r="S535" s="2">
        <f t="shared" si="18"/>
        <v>180</v>
      </c>
      <c r="T535" s="4">
        <f t="shared" si="19"/>
        <v>1824.9777777777779</v>
      </c>
    </row>
    <row r="536" spans="1:20" hidden="1" x14ac:dyDescent="0.3">
      <c r="A536">
        <v>353870905000210</v>
      </c>
      <c r="B536" t="s">
        <v>217</v>
      </c>
      <c r="C536" t="s">
        <v>167</v>
      </c>
      <c r="D536">
        <v>1</v>
      </c>
      <c r="E536">
        <v>0</v>
      </c>
      <c r="F536" s="1">
        <v>298476</v>
      </c>
      <c r="G536" s="1">
        <v>298476</v>
      </c>
      <c r="H536" s="1">
        <v>0</v>
      </c>
      <c r="I536" s="3">
        <v>0</v>
      </c>
      <c r="J536" s="3">
        <v>4</v>
      </c>
      <c r="K536" s="3">
        <v>24</v>
      </c>
      <c r="L536" s="3">
        <v>72</v>
      </c>
      <c r="M536" s="3">
        <v>58</v>
      </c>
      <c r="N536" s="3">
        <v>5</v>
      </c>
      <c r="O536" s="3">
        <v>1</v>
      </c>
      <c r="P536" s="3">
        <v>0</v>
      </c>
      <c r="Q536" s="3">
        <v>0</v>
      </c>
      <c r="R536" s="3">
        <v>0</v>
      </c>
      <c r="S536" s="2">
        <f t="shared" si="18"/>
        <v>164</v>
      </c>
      <c r="T536" s="4">
        <f t="shared" si="19"/>
        <v>1819.9756097560976</v>
      </c>
    </row>
    <row r="537" spans="1:20" hidden="1" x14ac:dyDescent="0.3">
      <c r="A537">
        <v>353870935000051</v>
      </c>
      <c r="B537" t="s">
        <v>217</v>
      </c>
      <c r="C537" t="s">
        <v>170</v>
      </c>
      <c r="D537">
        <v>1</v>
      </c>
      <c r="E537">
        <v>1</v>
      </c>
      <c r="F537" s="1">
        <v>490315</v>
      </c>
      <c r="G537" s="1">
        <v>489315</v>
      </c>
      <c r="H537" s="1">
        <v>1000</v>
      </c>
      <c r="I537" s="3">
        <v>0</v>
      </c>
      <c r="J537" s="3">
        <v>0</v>
      </c>
      <c r="K537" s="3">
        <v>29</v>
      </c>
      <c r="L537" s="3">
        <v>109</v>
      </c>
      <c r="M537" s="3">
        <v>95</v>
      </c>
      <c r="N537" s="3">
        <v>6</v>
      </c>
      <c r="O537" s="3">
        <v>0</v>
      </c>
      <c r="P537" s="3">
        <v>0</v>
      </c>
      <c r="Q537" s="3">
        <v>0</v>
      </c>
      <c r="R537" s="3">
        <v>31</v>
      </c>
      <c r="S537" s="2">
        <f t="shared" si="18"/>
        <v>270</v>
      </c>
      <c r="T537" s="4">
        <f t="shared" si="19"/>
        <v>1815.9814814814815</v>
      </c>
    </row>
    <row r="538" spans="1:20" hidden="1" x14ac:dyDescent="0.3">
      <c r="A538">
        <v>353870935000004</v>
      </c>
      <c r="B538" t="s">
        <v>217</v>
      </c>
      <c r="C538" t="s">
        <v>170</v>
      </c>
      <c r="D538">
        <v>1</v>
      </c>
      <c r="E538">
        <v>0</v>
      </c>
      <c r="F538" s="1">
        <v>306463</v>
      </c>
      <c r="G538" s="1">
        <v>306463</v>
      </c>
      <c r="H538" s="1">
        <v>0</v>
      </c>
      <c r="I538" s="3">
        <v>0</v>
      </c>
      <c r="J538" s="3">
        <v>8</v>
      </c>
      <c r="K538" s="3">
        <v>17</v>
      </c>
      <c r="L538" s="3">
        <v>65</v>
      </c>
      <c r="M538" s="3">
        <v>48</v>
      </c>
      <c r="N538" s="3">
        <v>9</v>
      </c>
      <c r="O538" s="3">
        <v>6</v>
      </c>
      <c r="P538" s="3">
        <v>1</v>
      </c>
      <c r="Q538" s="3">
        <v>0</v>
      </c>
      <c r="R538" s="3">
        <v>15</v>
      </c>
      <c r="S538" s="2">
        <f t="shared" si="18"/>
        <v>169</v>
      </c>
      <c r="T538" s="4">
        <f t="shared" si="19"/>
        <v>1813.3905325443786</v>
      </c>
    </row>
    <row r="539" spans="1:20" hidden="1" x14ac:dyDescent="0.3">
      <c r="A539">
        <v>353870905000370</v>
      </c>
      <c r="B539" t="s">
        <v>217</v>
      </c>
      <c r="C539" t="s">
        <v>149</v>
      </c>
      <c r="D539">
        <v>2</v>
      </c>
      <c r="E539">
        <v>0</v>
      </c>
      <c r="F539" s="1">
        <v>715953</v>
      </c>
      <c r="G539" s="1">
        <v>715953</v>
      </c>
      <c r="H539" s="1">
        <v>0</v>
      </c>
      <c r="I539" s="3">
        <v>4</v>
      </c>
      <c r="J539" s="3">
        <v>14</v>
      </c>
      <c r="K539" s="3">
        <v>55</v>
      </c>
      <c r="L539" s="3">
        <v>143</v>
      </c>
      <c r="M539" s="3">
        <v>137</v>
      </c>
      <c r="N539" s="3">
        <v>26</v>
      </c>
      <c r="O539" s="3">
        <v>11</v>
      </c>
      <c r="P539" s="3">
        <v>3</v>
      </c>
      <c r="Q539" s="3">
        <v>0</v>
      </c>
      <c r="R539" s="3">
        <v>2</v>
      </c>
      <c r="S539" s="2">
        <f t="shared" si="18"/>
        <v>395</v>
      </c>
      <c r="T539" s="4">
        <f t="shared" si="19"/>
        <v>1812.5392405063292</v>
      </c>
    </row>
    <row r="540" spans="1:20" hidden="1" x14ac:dyDescent="0.3">
      <c r="A540">
        <v>353870935000092</v>
      </c>
      <c r="B540" t="s">
        <v>217</v>
      </c>
      <c r="C540" t="s">
        <v>155</v>
      </c>
      <c r="D540">
        <v>1</v>
      </c>
      <c r="E540">
        <v>0</v>
      </c>
      <c r="F540" s="1">
        <v>213566</v>
      </c>
      <c r="G540" s="1">
        <v>213566</v>
      </c>
      <c r="H540" s="1">
        <v>0</v>
      </c>
      <c r="I540" s="3">
        <v>0</v>
      </c>
      <c r="J540" s="3">
        <v>0</v>
      </c>
      <c r="K540" s="3">
        <v>18</v>
      </c>
      <c r="L540" s="3">
        <v>36</v>
      </c>
      <c r="M540" s="3">
        <v>42</v>
      </c>
      <c r="N540" s="3">
        <v>12</v>
      </c>
      <c r="O540" s="3">
        <v>2</v>
      </c>
      <c r="P540" s="3">
        <v>1</v>
      </c>
      <c r="Q540" s="3">
        <v>0</v>
      </c>
      <c r="R540" s="3">
        <v>7</v>
      </c>
      <c r="S540" s="2">
        <f t="shared" si="18"/>
        <v>118</v>
      </c>
      <c r="T540" s="4">
        <f t="shared" si="19"/>
        <v>1809.8813559322034</v>
      </c>
    </row>
    <row r="541" spans="1:20" hidden="1" x14ac:dyDescent="0.3">
      <c r="A541">
        <v>353870905000294</v>
      </c>
      <c r="B541" t="s">
        <v>217</v>
      </c>
      <c r="C541" t="s">
        <v>185</v>
      </c>
      <c r="D541">
        <v>1</v>
      </c>
      <c r="E541">
        <v>0</v>
      </c>
      <c r="F541" s="1">
        <v>917417</v>
      </c>
      <c r="G541" s="1">
        <v>917417</v>
      </c>
      <c r="H541" s="1">
        <v>0</v>
      </c>
      <c r="I541" s="3">
        <v>3</v>
      </c>
      <c r="J541" s="3">
        <v>25</v>
      </c>
      <c r="K541" s="3">
        <v>74</v>
      </c>
      <c r="L541" s="3">
        <v>175</v>
      </c>
      <c r="M541" s="3">
        <v>180</v>
      </c>
      <c r="N541" s="3">
        <v>30</v>
      </c>
      <c r="O541" s="3">
        <v>9</v>
      </c>
      <c r="P541" s="3">
        <v>2</v>
      </c>
      <c r="Q541" s="3">
        <v>0</v>
      </c>
      <c r="R541" s="3">
        <v>9</v>
      </c>
      <c r="S541" s="2">
        <f t="shared" si="18"/>
        <v>507</v>
      </c>
      <c r="T541" s="4">
        <f t="shared" si="19"/>
        <v>1809.5009861932938</v>
      </c>
    </row>
    <row r="542" spans="1:20" hidden="1" x14ac:dyDescent="0.3">
      <c r="A542">
        <v>353870905000357</v>
      </c>
      <c r="B542" t="s">
        <v>217</v>
      </c>
      <c r="C542" t="s">
        <v>173</v>
      </c>
      <c r="D542">
        <v>1</v>
      </c>
      <c r="E542">
        <v>0</v>
      </c>
      <c r="F542" s="1">
        <v>357382</v>
      </c>
      <c r="G542" s="1">
        <v>357382</v>
      </c>
      <c r="H542" s="1">
        <v>0</v>
      </c>
      <c r="I542" s="3">
        <v>0</v>
      </c>
      <c r="J542" s="3">
        <v>7</v>
      </c>
      <c r="K542" s="3">
        <v>25</v>
      </c>
      <c r="L542" s="3">
        <v>71</v>
      </c>
      <c r="M542" s="3">
        <v>72</v>
      </c>
      <c r="N542" s="3">
        <v>12</v>
      </c>
      <c r="O542" s="3">
        <v>6</v>
      </c>
      <c r="P542" s="3">
        <v>0</v>
      </c>
      <c r="Q542" s="3">
        <v>0</v>
      </c>
      <c r="R542" s="3">
        <v>6</v>
      </c>
      <c r="S542" s="2">
        <f t="shared" si="18"/>
        <v>199</v>
      </c>
      <c r="T542" s="4">
        <f t="shared" si="19"/>
        <v>1795.889447236181</v>
      </c>
    </row>
    <row r="543" spans="1:20" hidden="1" x14ac:dyDescent="0.3">
      <c r="A543">
        <v>353870905000341</v>
      </c>
      <c r="B543" t="s">
        <v>217</v>
      </c>
      <c r="C543" t="s">
        <v>179</v>
      </c>
      <c r="D543">
        <v>1</v>
      </c>
      <c r="E543">
        <v>0</v>
      </c>
      <c r="F543" s="1">
        <v>411787</v>
      </c>
      <c r="G543" s="1">
        <v>411787</v>
      </c>
      <c r="H543" s="1">
        <v>0</v>
      </c>
      <c r="I543" s="3">
        <v>3</v>
      </c>
      <c r="J543" s="3">
        <v>7</v>
      </c>
      <c r="K543" s="3">
        <v>31</v>
      </c>
      <c r="L543" s="3">
        <v>92</v>
      </c>
      <c r="M543" s="3">
        <v>64</v>
      </c>
      <c r="N543" s="3">
        <v>21</v>
      </c>
      <c r="O543" s="3">
        <v>6</v>
      </c>
      <c r="P543" s="3">
        <v>1</v>
      </c>
      <c r="Q543" s="3">
        <v>0</v>
      </c>
      <c r="R543" s="3">
        <v>5</v>
      </c>
      <c r="S543" s="2">
        <f t="shared" si="18"/>
        <v>230</v>
      </c>
      <c r="T543" s="4">
        <f t="shared" si="19"/>
        <v>1790.3782608695651</v>
      </c>
    </row>
    <row r="544" spans="1:20" hidden="1" x14ac:dyDescent="0.3">
      <c r="A544">
        <v>353870905000358</v>
      </c>
      <c r="B544" t="s">
        <v>217</v>
      </c>
      <c r="C544" t="s">
        <v>173</v>
      </c>
      <c r="D544">
        <v>1</v>
      </c>
      <c r="E544">
        <v>0</v>
      </c>
      <c r="F544" s="1">
        <v>371116</v>
      </c>
      <c r="G544" s="1">
        <v>371116</v>
      </c>
      <c r="H544" s="1">
        <v>0</v>
      </c>
      <c r="I544" s="3">
        <v>3</v>
      </c>
      <c r="J544" s="3">
        <v>6</v>
      </c>
      <c r="K544" s="3">
        <v>23</v>
      </c>
      <c r="L544" s="3">
        <v>77</v>
      </c>
      <c r="M544" s="3">
        <v>70</v>
      </c>
      <c r="N544" s="3">
        <v>15</v>
      </c>
      <c r="O544" s="3">
        <v>3</v>
      </c>
      <c r="P544" s="3">
        <v>2</v>
      </c>
      <c r="Q544" s="3">
        <v>0</v>
      </c>
      <c r="R544" s="3">
        <v>9</v>
      </c>
      <c r="S544" s="2">
        <f t="shared" si="18"/>
        <v>208</v>
      </c>
      <c r="T544" s="4">
        <f t="shared" si="19"/>
        <v>1784.2115384615386</v>
      </c>
    </row>
    <row r="545" spans="1:20" hidden="1" x14ac:dyDescent="0.3">
      <c r="A545">
        <v>353870905000355</v>
      </c>
      <c r="B545" t="s">
        <v>217</v>
      </c>
      <c r="C545" t="s">
        <v>173</v>
      </c>
      <c r="D545">
        <v>1</v>
      </c>
      <c r="E545">
        <v>0</v>
      </c>
      <c r="F545" s="1">
        <v>410168</v>
      </c>
      <c r="G545" s="1">
        <v>410168</v>
      </c>
      <c r="H545" s="1">
        <v>0</v>
      </c>
      <c r="I545" s="3">
        <v>3</v>
      </c>
      <c r="J545" s="3">
        <v>5</v>
      </c>
      <c r="K545" s="3">
        <v>39</v>
      </c>
      <c r="L545" s="3">
        <v>77</v>
      </c>
      <c r="M545" s="3">
        <v>78</v>
      </c>
      <c r="N545" s="3">
        <v>16</v>
      </c>
      <c r="O545" s="3">
        <v>8</v>
      </c>
      <c r="P545" s="3">
        <v>1</v>
      </c>
      <c r="Q545" s="3">
        <v>0</v>
      </c>
      <c r="R545" s="3">
        <v>3</v>
      </c>
      <c r="S545" s="2">
        <f t="shared" si="18"/>
        <v>230</v>
      </c>
      <c r="T545" s="4">
        <f t="shared" si="19"/>
        <v>1783.3391304347826</v>
      </c>
    </row>
    <row r="546" spans="1:20" hidden="1" x14ac:dyDescent="0.3">
      <c r="A546">
        <v>353870905000352</v>
      </c>
      <c r="B546" t="s">
        <v>217</v>
      </c>
      <c r="C546" t="s">
        <v>173</v>
      </c>
      <c r="D546">
        <v>1</v>
      </c>
      <c r="E546">
        <v>0</v>
      </c>
      <c r="F546" s="1">
        <v>372532</v>
      </c>
      <c r="G546" s="1">
        <v>372532</v>
      </c>
      <c r="H546" s="1">
        <v>0</v>
      </c>
      <c r="I546" s="3">
        <v>2</v>
      </c>
      <c r="J546" s="3">
        <v>6</v>
      </c>
      <c r="K546" s="3">
        <v>34</v>
      </c>
      <c r="L546" s="3">
        <v>85</v>
      </c>
      <c r="M546" s="3">
        <v>61</v>
      </c>
      <c r="N546" s="3">
        <v>11</v>
      </c>
      <c r="O546" s="3">
        <v>5</v>
      </c>
      <c r="P546" s="3">
        <v>1</v>
      </c>
      <c r="Q546" s="3">
        <v>0</v>
      </c>
      <c r="R546" s="3">
        <v>5</v>
      </c>
      <c r="S546" s="2">
        <f t="shared" si="18"/>
        <v>210</v>
      </c>
      <c r="T546" s="4">
        <f t="shared" si="19"/>
        <v>1773.9619047619049</v>
      </c>
    </row>
    <row r="547" spans="1:20" hidden="1" x14ac:dyDescent="0.3">
      <c r="A547">
        <v>353870905000505</v>
      </c>
      <c r="B547" t="s">
        <v>217</v>
      </c>
      <c r="C547" t="s">
        <v>185</v>
      </c>
      <c r="D547">
        <v>1</v>
      </c>
      <c r="E547">
        <v>0</v>
      </c>
      <c r="F547" s="1">
        <v>343222</v>
      </c>
      <c r="G547" s="1">
        <v>343222</v>
      </c>
      <c r="H547" s="1">
        <v>0</v>
      </c>
      <c r="I547" s="3">
        <v>2</v>
      </c>
      <c r="J547" s="3">
        <v>4</v>
      </c>
      <c r="K547" s="3">
        <v>23</v>
      </c>
      <c r="L547" s="3">
        <v>75</v>
      </c>
      <c r="M547" s="3">
        <v>61</v>
      </c>
      <c r="N547" s="3">
        <v>17</v>
      </c>
      <c r="O547" s="3">
        <v>5</v>
      </c>
      <c r="P547" s="3">
        <v>0</v>
      </c>
      <c r="Q547" s="3">
        <v>0</v>
      </c>
      <c r="R547" s="3">
        <v>7</v>
      </c>
      <c r="S547" s="2">
        <f t="shared" si="18"/>
        <v>194</v>
      </c>
      <c r="T547" s="4">
        <f t="shared" si="19"/>
        <v>1769.1855670103093</v>
      </c>
    </row>
    <row r="548" spans="1:20" hidden="1" x14ac:dyDescent="0.3">
      <c r="A548">
        <v>353870935000087</v>
      </c>
      <c r="B548" t="s">
        <v>217</v>
      </c>
      <c r="C548" t="s">
        <v>161</v>
      </c>
      <c r="D548">
        <v>1</v>
      </c>
      <c r="E548">
        <v>0</v>
      </c>
      <c r="F548" s="1">
        <v>242095</v>
      </c>
      <c r="G548" s="1">
        <v>242095</v>
      </c>
      <c r="H548" s="1">
        <v>0</v>
      </c>
      <c r="I548" s="3">
        <v>0</v>
      </c>
      <c r="J548" s="3">
        <v>2</v>
      </c>
      <c r="K548" s="3">
        <v>27</v>
      </c>
      <c r="L548" s="3">
        <v>46</v>
      </c>
      <c r="M548" s="3">
        <v>47</v>
      </c>
      <c r="N548" s="3">
        <v>10</v>
      </c>
      <c r="O548" s="3">
        <v>1</v>
      </c>
      <c r="P548" s="3">
        <v>1</v>
      </c>
      <c r="Q548" s="3">
        <v>0</v>
      </c>
      <c r="R548" s="3">
        <v>3</v>
      </c>
      <c r="S548" s="2">
        <f t="shared" si="18"/>
        <v>137</v>
      </c>
      <c r="T548" s="4">
        <f t="shared" si="19"/>
        <v>1767.1167883211679</v>
      </c>
    </row>
    <row r="549" spans="1:20" hidden="1" x14ac:dyDescent="0.3">
      <c r="A549">
        <v>353870935000020</v>
      </c>
      <c r="B549" t="s">
        <v>217</v>
      </c>
      <c r="C549" t="s">
        <v>155</v>
      </c>
      <c r="D549">
        <v>1</v>
      </c>
      <c r="E549">
        <v>0</v>
      </c>
      <c r="F549" s="1">
        <v>279478</v>
      </c>
      <c r="G549" s="1">
        <v>279478</v>
      </c>
      <c r="H549" s="1">
        <v>0</v>
      </c>
      <c r="I549" s="3">
        <v>0</v>
      </c>
      <c r="J549" s="3">
        <v>3</v>
      </c>
      <c r="K549" s="3">
        <v>12</v>
      </c>
      <c r="L549" s="3">
        <v>55</v>
      </c>
      <c r="M549" s="3">
        <v>59</v>
      </c>
      <c r="N549" s="3">
        <v>11</v>
      </c>
      <c r="O549" s="3">
        <v>3</v>
      </c>
      <c r="P549" s="3">
        <v>3</v>
      </c>
      <c r="Q549" s="3">
        <v>0</v>
      </c>
      <c r="R549" s="3">
        <v>13</v>
      </c>
      <c r="S549" s="2">
        <f t="shared" si="18"/>
        <v>159</v>
      </c>
      <c r="T549" s="4">
        <f t="shared" si="19"/>
        <v>1757.7232704402516</v>
      </c>
    </row>
    <row r="550" spans="1:20" hidden="1" x14ac:dyDescent="0.3">
      <c r="A550">
        <v>353870935000050</v>
      </c>
      <c r="B550" t="s">
        <v>217</v>
      </c>
      <c r="C550" t="s">
        <v>170</v>
      </c>
      <c r="D550">
        <v>1</v>
      </c>
      <c r="E550">
        <v>0</v>
      </c>
      <c r="F550" s="1">
        <v>217492</v>
      </c>
      <c r="G550" s="1">
        <v>217492</v>
      </c>
      <c r="H550" s="1">
        <v>0</v>
      </c>
      <c r="I550" s="3">
        <v>0</v>
      </c>
      <c r="J550" s="3">
        <v>7</v>
      </c>
      <c r="K550" s="3">
        <v>27</v>
      </c>
      <c r="L550" s="3">
        <v>50</v>
      </c>
      <c r="M550" s="3">
        <v>29</v>
      </c>
      <c r="N550" s="3">
        <v>6</v>
      </c>
      <c r="O550" s="3">
        <v>1</v>
      </c>
      <c r="P550" s="3">
        <v>0</v>
      </c>
      <c r="Q550" s="3">
        <v>2</v>
      </c>
      <c r="R550" s="3">
        <v>2</v>
      </c>
      <c r="S550" s="2">
        <f t="shared" si="18"/>
        <v>124</v>
      </c>
      <c r="T550" s="4">
        <f t="shared" si="19"/>
        <v>1753.9677419354839</v>
      </c>
    </row>
    <row r="551" spans="1:20" hidden="1" x14ac:dyDescent="0.3">
      <c r="A551">
        <v>353870905000390</v>
      </c>
      <c r="B551" t="s">
        <v>217</v>
      </c>
      <c r="C551" t="s">
        <v>108</v>
      </c>
      <c r="D551">
        <v>1</v>
      </c>
      <c r="E551">
        <v>0</v>
      </c>
      <c r="F551" s="1">
        <v>353689</v>
      </c>
      <c r="G551" s="1">
        <v>353689</v>
      </c>
      <c r="H551" s="1">
        <v>0</v>
      </c>
      <c r="I551" s="3">
        <v>1</v>
      </c>
      <c r="J551" s="3">
        <v>2</v>
      </c>
      <c r="K551" s="3">
        <v>25</v>
      </c>
      <c r="L551" s="3">
        <v>84</v>
      </c>
      <c r="M551" s="3">
        <v>68</v>
      </c>
      <c r="N551" s="3">
        <v>12</v>
      </c>
      <c r="O551" s="3">
        <v>3</v>
      </c>
      <c r="P551" s="3">
        <v>1</v>
      </c>
      <c r="Q551" s="3">
        <v>0</v>
      </c>
      <c r="R551" s="3">
        <v>6</v>
      </c>
      <c r="S551" s="2">
        <f t="shared" si="18"/>
        <v>202</v>
      </c>
      <c r="T551" s="4">
        <f t="shared" si="19"/>
        <v>1750.9356435643565</v>
      </c>
    </row>
    <row r="552" spans="1:20" hidden="1" x14ac:dyDescent="0.3">
      <c r="A552">
        <v>353870905000361</v>
      </c>
      <c r="B552" t="s">
        <v>217</v>
      </c>
      <c r="C552" t="s">
        <v>176</v>
      </c>
      <c r="D552">
        <v>1</v>
      </c>
      <c r="E552">
        <v>0</v>
      </c>
      <c r="F552" s="1">
        <v>265310</v>
      </c>
      <c r="G552" s="1">
        <v>265310</v>
      </c>
      <c r="H552" s="1">
        <v>0</v>
      </c>
      <c r="I552" s="3">
        <v>0</v>
      </c>
      <c r="J552" s="3">
        <v>6</v>
      </c>
      <c r="K552" s="3">
        <v>36</v>
      </c>
      <c r="L552" s="3">
        <v>52</v>
      </c>
      <c r="M552" s="3">
        <v>46</v>
      </c>
      <c r="N552" s="3">
        <v>6</v>
      </c>
      <c r="O552" s="3">
        <v>2</v>
      </c>
      <c r="P552" s="3">
        <v>1</v>
      </c>
      <c r="Q552" s="3">
        <v>0</v>
      </c>
      <c r="R552" s="3">
        <v>3</v>
      </c>
      <c r="S552" s="2">
        <f t="shared" si="18"/>
        <v>152</v>
      </c>
      <c r="T552" s="4">
        <f t="shared" si="19"/>
        <v>1745.4605263157894</v>
      </c>
    </row>
    <row r="553" spans="1:20" hidden="1" x14ac:dyDescent="0.3">
      <c r="A553">
        <v>353870905000329</v>
      </c>
      <c r="B553" t="s">
        <v>217</v>
      </c>
      <c r="C553" t="s">
        <v>188</v>
      </c>
      <c r="D553">
        <v>1</v>
      </c>
      <c r="E553">
        <v>0</v>
      </c>
      <c r="F553" s="1">
        <v>575772</v>
      </c>
      <c r="G553" s="1">
        <v>575772</v>
      </c>
      <c r="H553" s="1">
        <v>0</v>
      </c>
      <c r="I553" s="3">
        <v>2</v>
      </c>
      <c r="J553" s="3">
        <v>10</v>
      </c>
      <c r="K553" s="3">
        <v>47</v>
      </c>
      <c r="L553" s="3">
        <v>136</v>
      </c>
      <c r="M553" s="3">
        <v>104</v>
      </c>
      <c r="N553" s="3">
        <v>27</v>
      </c>
      <c r="O553" s="3">
        <v>2</v>
      </c>
      <c r="P553" s="3">
        <v>0</v>
      </c>
      <c r="Q553" s="3">
        <v>0</v>
      </c>
      <c r="R553" s="3">
        <v>2</v>
      </c>
      <c r="S553" s="2">
        <f t="shared" si="18"/>
        <v>330</v>
      </c>
      <c r="T553" s="4">
        <f t="shared" si="19"/>
        <v>1744.7636363636364</v>
      </c>
    </row>
    <row r="554" spans="1:20" hidden="1" x14ac:dyDescent="0.3">
      <c r="A554">
        <v>353870905000271</v>
      </c>
      <c r="B554" t="s">
        <v>217</v>
      </c>
      <c r="C554" t="s">
        <v>145</v>
      </c>
      <c r="D554">
        <v>1</v>
      </c>
      <c r="E554">
        <v>0</v>
      </c>
      <c r="F554" s="1">
        <v>317316</v>
      </c>
      <c r="G554" s="1">
        <v>317316</v>
      </c>
      <c r="H554" s="1">
        <v>0</v>
      </c>
      <c r="I554" s="3">
        <v>2</v>
      </c>
      <c r="J554" s="3">
        <v>5</v>
      </c>
      <c r="K554" s="3">
        <v>19</v>
      </c>
      <c r="L554" s="3">
        <v>52</v>
      </c>
      <c r="M554" s="3">
        <v>61</v>
      </c>
      <c r="N554" s="3">
        <v>21</v>
      </c>
      <c r="O554" s="3">
        <v>7</v>
      </c>
      <c r="P554" s="3">
        <v>1</v>
      </c>
      <c r="Q554" s="3">
        <v>0</v>
      </c>
      <c r="R554" s="3">
        <v>14</v>
      </c>
      <c r="S554" s="2">
        <f t="shared" si="18"/>
        <v>182</v>
      </c>
      <c r="T554" s="4">
        <f t="shared" si="19"/>
        <v>1743.4945054945056</v>
      </c>
    </row>
    <row r="555" spans="1:20" hidden="1" x14ac:dyDescent="0.3">
      <c r="A555">
        <v>353870935000048</v>
      </c>
      <c r="B555" t="s">
        <v>217</v>
      </c>
      <c r="C555" t="s">
        <v>170</v>
      </c>
      <c r="D555">
        <v>1</v>
      </c>
      <c r="E555">
        <v>0</v>
      </c>
      <c r="F555" s="1">
        <v>266227</v>
      </c>
      <c r="G555" s="1">
        <v>266227</v>
      </c>
      <c r="H555" s="1">
        <v>0</v>
      </c>
      <c r="I555" s="3">
        <v>1</v>
      </c>
      <c r="J555" s="3">
        <v>1</v>
      </c>
      <c r="K555" s="3">
        <v>23</v>
      </c>
      <c r="L555" s="3">
        <v>48</v>
      </c>
      <c r="M555" s="3">
        <v>52</v>
      </c>
      <c r="N555" s="3">
        <v>8</v>
      </c>
      <c r="O555" s="3">
        <v>3</v>
      </c>
      <c r="P555" s="3">
        <v>2</v>
      </c>
      <c r="Q555" s="3">
        <v>0</v>
      </c>
      <c r="R555" s="3">
        <v>15</v>
      </c>
      <c r="S555" s="2">
        <f t="shared" si="18"/>
        <v>153</v>
      </c>
      <c r="T555" s="4">
        <f t="shared" si="19"/>
        <v>1740.045751633987</v>
      </c>
    </row>
    <row r="556" spans="1:20" hidden="1" x14ac:dyDescent="0.3">
      <c r="A556">
        <v>353870905000489</v>
      </c>
      <c r="B556" t="s">
        <v>217</v>
      </c>
      <c r="C556" t="s">
        <v>116</v>
      </c>
      <c r="D556">
        <v>1</v>
      </c>
      <c r="E556">
        <v>0</v>
      </c>
      <c r="F556" s="1">
        <v>29494</v>
      </c>
      <c r="G556" s="1">
        <v>29494</v>
      </c>
      <c r="H556" s="1">
        <v>0</v>
      </c>
      <c r="I556" s="3">
        <v>0</v>
      </c>
      <c r="J556" s="3">
        <v>0</v>
      </c>
      <c r="K556" s="3">
        <v>3</v>
      </c>
      <c r="L556" s="3">
        <v>6</v>
      </c>
      <c r="M556" s="3">
        <v>4</v>
      </c>
      <c r="N556" s="3">
        <v>3</v>
      </c>
      <c r="O556" s="3">
        <v>1</v>
      </c>
      <c r="P556" s="3">
        <v>0</v>
      </c>
      <c r="Q556" s="3">
        <v>0</v>
      </c>
      <c r="R556" s="3">
        <v>0</v>
      </c>
      <c r="S556" s="2">
        <f t="shared" si="18"/>
        <v>17</v>
      </c>
      <c r="T556" s="4">
        <f t="shared" si="19"/>
        <v>1734.9411764705883</v>
      </c>
    </row>
    <row r="557" spans="1:20" hidden="1" x14ac:dyDescent="0.3">
      <c r="A557">
        <v>353870910000003</v>
      </c>
      <c r="B557" t="s">
        <v>217</v>
      </c>
      <c r="C557" t="s">
        <v>218</v>
      </c>
      <c r="D557">
        <v>1</v>
      </c>
      <c r="E557">
        <v>0</v>
      </c>
      <c r="F557" s="1">
        <v>523159</v>
      </c>
      <c r="G557" s="1">
        <v>523159</v>
      </c>
      <c r="H557" s="1">
        <v>0</v>
      </c>
      <c r="I557" s="3">
        <v>5</v>
      </c>
      <c r="J557" s="3">
        <v>1</v>
      </c>
      <c r="K557" s="3">
        <v>34</v>
      </c>
      <c r="L557" s="3">
        <v>129</v>
      </c>
      <c r="M557" s="3">
        <v>96</v>
      </c>
      <c r="N557" s="3">
        <v>31</v>
      </c>
      <c r="O557" s="3">
        <v>2</v>
      </c>
      <c r="P557" s="3">
        <v>0</v>
      </c>
      <c r="Q557" s="3">
        <v>0</v>
      </c>
      <c r="R557" s="3">
        <v>5</v>
      </c>
      <c r="S557" s="2">
        <f t="shared" si="18"/>
        <v>303</v>
      </c>
      <c r="T557" s="4">
        <f t="shared" si="19"/>
        <v>1726.5973597359737</v>
      </c>
    </row>
    <row r="558" spans="1:20" hidden="1" x14ac:dyDescent="0.3">
      <c r="A558">
        <v>353870935000016</v>
      </c>
      <c r="B558" t="s">
        <v>217</v>
      </c>
      <c r="C558" t="s">
        <v>155</v>
      </c>
      <c r="D558">
        <v>1</v>
      </c>
      <c r="E558">
        <v>0</v>
      </c>
      <c r="F558" s="1">
        <v>199397</v>
      </c>
      <c r="G558" s="1">
        <v>199397</v>
      </c>
      <c r="H558" s="1">
        <v>0</v>
      </c>
      <c r="I558" s="3">
        <v>2</v>
      </c>
      <c r="J558" s="3">
        <v>1</v>
      </c>
      <c r="K558" s="3">
        <v>19</v>
      </c>
      <c r="L558" s="3">
        <v>47</v>
      </c>
      <c r="M558" s="3">
        <v>38</v>
      </c>
      <c r="N558" s="3">
        <v>5</v>
      </c>
      <c r="O558" s="3">
        <v>3</v>
      </c>
      <c r="P558" s="3">
        <v>0</v>
      </c>
      <c r="Q558" s="3">
        <v>0</v>
      </c>
      <c r="R558" s="3">
        <v>1</v>
      </c>
      <c r="S558" s="2">
        <f t="shared" si="18"/>
        <v>116</v>
      </c>
      <c r="T558" s="4">
        <f t="shared" si="19"/>
        <v>1718.9396551724137</v>
      </c>
    </row>
    <row r="559" spans="1:20" hidden="1" x14ac:dyDescent="0.3">
      <c r="A559">
        <v>353870915000003</v>
      </c>
      <c r="B559" t="s">
        <v>217</v>
      </c>
      <c r="C559" t="s">
        <v>218</v>
      </c>
      <c r="D559">
        <v>8</v>
      </c>
      <c r="E559">
        <v>1</v>
      </c>
      <c r="F559" s="1">
        <v>154962</v>
      </c>
      <c r="G559" s="1">
        <v>154162</v>
      </c>
      <c r="H559" s="1">
        <v>800</v>
      </c>
      <c r="I559" s="3">
        <v>0</v>
      </c>
      <c r="J559" s="3">
        <v>2</v>
      </c>
      <c r="K559" s="3">
        <v>18</v>
      </c>
      <c r="L559" s="3">
        <v>39</v>
      </c>
      <c r="M559" s="3">
        <v>23</v>
      </c>
      <c r="N559" s="3">
        <v>6</v>
      </c>
      <c r="O559" s="3">
        <v>1</v>
      </c>
      <c r="P559" s="3">
        <v>2</v>
      </c>
      <c r="Q559" s="3">
        <v>0</v>
      </c>
      <c r="R559" s="3">
        <v>0</v>
      </c>
      <c r="S559" s="2">
        <f t="shared" si="18"/>
        <v>91</v>
      </c>
      <c r="T559" s="4">
        <f t="shared" si="19"/>
        <v>1702.8791208791208</v>
      </c>
    </row>
    <row r="560" spans="1:20" hidden="1" x14ac:dyDescent="0.3">
      <c r="A560">
        <v>353870905000272</v>
      </c>
      <c r="B560" t="s">
        <v>217</v>
      </c>
      <c r="C560" t="s">
        <v>145</v>
      </c>
      <c r="D560">
        <v>1</v>
      </c>
      <c r="E560">
        <v>0</v>
      </c>
      <c r="F560" s="1">
        <v>122596</v>
      </c>
      <c r="G560" s="1">
        <v>122596</v>
      </c>
      <c r="H560" s="1">
        <v>0</v>
      </c>
      <c r="I560" s="3">
        <v>0</v>
      </c>
      <c r="J560" s="3">
        <v>6</v>
      </c>
      <c r="K560" s="3">
        <v>16</v>
      </c>
      <c r="L560" s="3">
        <v>24</v>
      </c>
      <c r="M560" s="3">
        <v>23</v>
      </c>
      <c r="N560" s="3">
        <v>0</v>
      </c>
      <c r="O560" s="3">
        <v>1</v>
      </c>
      <c r="P560" s="3">
        <v>0</v>
      </c>
      <c r="Q560" s="3">
        <v>0</v>
      </c>
      <c r="R560" s="3">
        <v>2</v>
      </c>
      <c r="S560" s="2">
        <f t="shared" si="18"/>
        <v>72</v>
      </c>
      <c r="T560" s="4">
        <f t="shared" si="19"/>
        <v>1702.7222222222222</v>
      </c>
    </row>
    <row r="561" spans="1:20" hidden="1" x14ac:dyDescent="0.3">
      <c r="A561">
        <v>353870905000334</v>
      </c>
      <c r="B561" t="s">
        <v>217</v>
      </c>
      <c r="C561" t="s">
        <v>188</v>
      </c>
      <c r="D561">
        <v>1</v>
      </c>
      <c r="E561">
        <v>0</v>
      </c>
      <c r="F561" s="1">
        <v>278260</v>
      </c>
      <c r="G561" s="1">
        <v>278260</v>
      </c>
      <c r="H561" s="1">
        <v>0</v>
      </c>
      <c r="I561" s="3">
        <v>0</v>
      </c>
      <c r="J561" s="3">
        <v>6</v>
      </c>
      <c r="K561" s="3">
        <v>25</v>
      </c>
      <c r="L561" s="3">
        <v>61</v>
      </c>
      <c r="M561" s="3">
        <v>52</v>
      </c>
      <c r="N561" s="3">
        <v>11</v>
      </c>
      <c r="O561" s="3">
        <v>2</v>
      </c>
      <c r="P561" s="3">
        <v>1</v>
      </c>
      <c r="Q561" s="3">
        <v>0</v>
      </c>
      <c r="R561" s="3">
        <v>6</v>
      </c>
      <c r="S561" s="2">
        <f t="shared" si="18"/>
        <v>164</v>
      </c>
      <c r="T561" s="4">
        <f t="shared" si="19"/>
        <v>1696.7073170731708</v>
      </c>
    </row>
    <row r="562" spans="1:20" hidden="1" x14ac:dyDescent="0.3">
      <c r="A562">
        <v>353870905000292</v>
      </c>
      <c r="B562" t="s">
        <v>217</v>
      </c>
      <c r="C562" t="s">
        <v>185</v>
      </c>
      <c r="D562">
        <v>1</v>
      </c>
      <c r="E562">
        <v>0</v>
      </c>
      <c r="F562" s="1">
        <v>769328</v>
      </c>
      <c r="G562" s="1">
        <v>769328</v>
      </c>
      <c r="H562" s="1">
        <v>0</v>
      </c>
      <c r="I562" s="3">
        <v>1</v>
      </c>
      <c r="J562" s="3">
        <v>9</v>
      </c>
      <c r="K562" s="3">
        <v>101</v>
      </c>
      <c r="L562" s="3">
        <v>190</v>
      </c>
      <c r="M562" s="3">
        <v>110</v>
      </c>
      <c r="N562" s="3">
        <v>29</v>
      </c>
      <c r="O562" s="3">
        <v>10</v>
      </c>
      <c r="P562" s="3">
        <v>1</v>
      </c>
      <c r="Q562" s="3">
        <v>0</v>
      </c>
      <c r="R562" s="3">
        <v>4</v>
      </c>
      <c r="S562" s="2">
        <f t="shared" si="18"/>
        <v>455</v>
      </c>
      <c r="T562" s="4">
        <f t="shared" si="19"/>
        <v>1690.8307692307692</v>
      </c>
    </row>
    <row r="563" spans="1:20" hidden="1" x14ac:dyDescent="0.3">
      <c r="A563">
        <v>353870935000042</v>
      </c>
      <c r="B563" t="s">
        <v>217</v>
      </c>
      <c r="C563" t="s">
        <v>170</v>
      </c>
      <c r="D563">
        <v>1</v>
      </c>
      <c r="E563">
        <v>0</v>
      </c>
      <c r="F563" s="1">
        <v>335439</v>
      </c>
      <c r="G563" s="1">
        <v>335439</v>
      </c>
      <c r="H563" s="1">
        <v>0</v>
      </c>
      <c r="I563" s="3">
        <v>1</v>
      </c>
      <c r="J563" s="3">
        <v>9</v>
      </c>
      <c r="K563" s="3">
        <v>26</v>
      </c>
      <c r="L563" s="3">
        <v>80</v>
      </c>
      <c r="M563" s="3">
        <v>64</v>
      </c>
      <c r="N563" s="3">
        <v>12</v>
      </c>
      <c r="O563" s="3">
        <v>3</v>
      </c>
      <c r="P563" s="3">
        <v>1</v>
      </c>
      <c r="Q563" s="3">
        <v>0</v>
      </c>
      <c r="R563" s="3">
        <v>3</v>
      </c>
      <c r="S563" s="2">
        <f t="shared" si="18"/>
        <v>199</v>
      </c>
      <c r="T563" s="4">
        <f t="shared" si="19"/>
        <v>1685.6231155778894</v>
      </c>
    </row>
    <row r="564" spans="1:20" hidden="1" x14ac:dyDescent="0.3">
      <c r="A564">
        <v>353870905000395</v>
      </c>
      <c r="B564" t="s">
        <v>217</v>
      </c>
      <c r="C564" t="s">
        <v>108</v>
      </c>
      <c r="D564">
        <v>1</v>
      </c>
      <c r="E564">
        <v>0</v>
      </c>
      <c r="F564" s="1">
        <v>655402</v>
      </c>
      <c r="G564" s="1">
        <v>655402</v>
      </c>
      <c r="H564" s="1">
        <v>0</v>
      </c>
      <c r="I564" s="3">
        <v>8</v>
      </c>
      <c r="J564" s="3">
        <v>29</v>
      </c>
      <c r="K564" s="3">
        <v>66</v>
      </c>
      <c r="L564" s="3">
        <v>104</v>
      </c>
      <c r="M564" s="3">
        <v>106</v>
      </c>
      <c r="N564" s="3">
        <v>36</v>
      </c>
      <c r="O564" s="3">
        <v>21</v>
      </c>
      <c r="P564" s="3">
        <v>2</v>
      </c>
      <c r="Q564" s="3">
        <v>0</v>
      </c>
      <c r="R564" s="3">
        <v>17</v>
      </c>
      <c r="S564" s="2">
        <f t="shared" si="18"/>
        <v>389</v>
      </c>
      <c r="T564" s="4">
        <f t="shared" si="19"/>
        <v>1684.8380462724936</v>
      </c>
    </row>
    <row r="565" spans="1:20" hidden="1" x14ac:dyDescent="0.3">
      <c r="A565">
        <v>353870935000074</v>
      </c>
      <c r="B565" t="s">
        <v>217</v>
      </c>
      <c r="C565" t="s">
        <v>170</v>
      </c>
      <c r="D565">
        <v>1</v>
      </c>
      <c r="E565">
        <v>0</v>
      </c>
      <c r="F565" s="1">
        <v>33675</v>
      </c>
      <c r="G565" s="1">
        <v>33675</v>
      </c>
      <c r="H565" s="1">
        <v>0</v>
      </c>
      <c r="I565" s="3">
        <v>0</v>
      </c>
      <c r="J565" s="3">
        <v>0</v>
      </c>
      <c r="K565" s="3">
        <v>2</v>
      </c>
      <c r="L565" s="3">
        <v>9</v>
      </c>
      <c r="M565" s="3">
        <v>4</v>
      </c>
      <c r="N565" s="3">
        <v>0</v>
      </c>
      <c r="O565" s="3">
        <v>1</v>
      </c>
      <c r="P565" s="3">
        <v>0</v>
      </c>
      <c r="Q565" s="3">
        <v>0</v>
      </c>
      <c r="R565" s="3">
        <v>4</v>
      </c>
      <c r="S565" s="2">
        <f t="shared" si="18"/>
        <v>20</v>
      </c>
      <c r="T565" s="4">
        <f t="shared" si="19"/>
        <v>1683.75</v>
      </c>
    </row>
    <row r="566" spans="1:20" hidden="1" x14ac:dyDescent="0.3">
      <c r="A566">
        <v>353870905000327</v>
      </c>
      <c r="B566" t="s">
        <v>217</v>
      </c>
      <c r="C566" t="s">
        <v>188</v>
      </c>
      <c r="D566">
        <v>1</v>
      </c>
      <c r="E566">
        <v>0</v>
      </c>
      <c r="F566" s="1">
        <v>326202</v>
      </c>
      <c r="G566" s="1">
        <v>326202</v>
      </c>
      <c r="H566" s="1">
        <v>0</v>
      </c>
      <c r="I566" s="3">
        <v>1</v>
      </c>
      <c r="J566" s="3">
        <v>10</v>
      </c>
      <c r="K566" s="3">
        <v>28</v>
      </c>
      <c r="L566" s="3">
        <v>70</v>
      </c>
      <c r="M566" s="3">
        <v>66</v>
      </c>
      <c r="N566" s="3">
        <v>9</v>
      </c>
      <c r="O566" s="3">
        <v>4</v>
      </c>
      <c r="P566" s="3">
        <v>1</v>
      </c>
      <c r="Q566" s="3">
        <v>0</v>
      </c>
      <c r="R566" s="3">
        <v>5</v>
      </c>
      <c r="S566" s="2">
        <f t="shared" si="18"/>
        <v>194</v>
      </c>
      <c r="T566" s="4">
        <f t="shared" si="19"/>
        <v>1681.4536082474226</v>
      </c>
    </row>
    <row r="567" spans="1:20" hidden="1" x14ac:dyDescent="0.3">
      <c r="A567">
        <v>353870905000488</v>
      </c>
      <c r="B567" t="s">
        <v>217</v>
      </c>
      <c r="C567" t="s">
        <v>116</v>
      </c>
      <c r="D567">
        <v>1</v>
      </c>
      <c r="E567">
        <v>0</v>
      </c>
      <c r="F567" s="1">
        <v>23487</v>
      </c>
      <c r="G567" s="1">
        <v>23487</v>
      </c>
      <c r="H567" s="1">
        <v>0</v>
      </c>
      <c r="I567" s="3">
        <v>0</v>
      </c>
      <c r="J567" s="3">
        <v>0</v>
      </c>
      <c r="K567" s="3">
        <v>0</v>
      </c>
      <c r="L567" s="3">
        <v>5</v>
      </c>
      <c r="M567" s="3">
        <v>2</v>
      </c>
      <c r="N567" s="3">
        <v>1</v>
      </c>
      <c r="O567" s="3">
        <v>1</v>
      </c>
      <c r="P567" s="3">
        <v>0</v>
      </c>
      <c r="Q567" s="3">
        <v>0</v>
      </c>
      <c r="R567" s="3">
        <v>5</v>
      </c>
      <c r="S567" s="2">
        <f t="shared" si="18"/>
        <v>14</v>
      </c>
      <c r="T567" s="4">
        <f t="shared" si="19"/>
        <v>1677.6428571428571</v>
      </c>
    </row>
    <row r="568" spans="1:20" hidden="1" x14ac:dyDescent="0.3">
      <c r="A568">
        <v>353870905000404</v>
      </c>
      <c r="B568" t="s">
        <v>217</v>
      </c>
      <c r="C568" t="s">
        <v>188</v>
      </c>
      <c r="D568">
        <v>1</v>
      </c>
      <c r="E568">
        <v>0</v>
      </c>
      <c r="F568" s="1">
        <v>491065</v>
      </c>
      <c r="G568" s="1">
        <v>491065</v>
      </c>
      <c r="H568" s="1">
        <v>0</v>
      </c>
      <c r="I568" s="3">
        <v>0</v>
      </c>
      <c r="J568" s="3">
        <v>5</v>
      </c>
      <c r="K568" s="3">
        <v>50</v>
      </c>
      <c r="L568" s="3">
        <v>127</v>
      </c>
      <c r="M568" s="3">
        <v>87</v>
      </c>
      <c r="N568" s="3">
        <v>10</v>
      </c>
      <c r="O568" s="3">
        <v>6</v>
      </c>
      <c r="P568" s="3">
        <v>1</v>
      </c>
      <c r="Q568" s="3">
        <v>0</v>
      </c>
      <c r="R568" s="3">
        <v>8</v>
      </c>
      <c r="S568" s="2">
        <f t="shared" si="18"/>
        <v>294</v>
      </c>
      <c r="T568" s="4">
        <f t="shared" si="19"/>
        <v>1670.2891156462586</v>
      </c>
    </row>
    <row r="569" spans="1:20" hidden="1" x14ac:dyDescent="0.3">
      <c r="A569">
        <v>353870905000335</v>
      </c>
      <c r="B569" t="s">
        <v>217</v>
      </c>
      <c r="C569" t="s">
        <v>188</v>
      </c>
      <c r="D569">
        <v>1</v>
      </c>
      <c r="E569">
        <v>0</v>
      </c>
      <c r="F569" s="1">
        <v>442430</v>
      </c>
      <c r="G569" s="1">
        <v>442430</v>
      </c>
      <c r="H569" s="1">
        <v>0</v>
      </c>
      <c r="I569" s="3">
        <v>0</v>
      </c>
      <c r="J569" s="3">
        <v>9</v>
      </c>
      <c r="K569" s="3">
        <v>42</v>
      </c>
      <c r="L569" s="3">
        <v>103</v>
      </c>
      <c r="M569" s="3">
        <v>87</v>
      </c>
      <c r="N569" s="3">
        <v>8</v>
      </c>
      <c r="O569" s="3">
        <v>4</v>
      </c>
      <c r="P569" s="3">
        <v>2</v>
      </c>
      <c r="Q569" s="3">
        <v>0</v>
      </c>
      <c r="R569" s="3">
        <v>10</v>
      </c>
      <c r="S569" s="2">
        <f t="shared" si="18"/>
        <v>265</v>
      </c>
      <c r="T569" s="4">
        <f t="shared" si="19"/>
        <v>1669.5471698113208</v>
      </c>
    </row>
    <row r="570" spans="1:20" hidden="1" x14ac:dyDescent="0.3">
      <c r="A570">
        <v>353870935000039</v>
      </c>
      <c r="B570" t="s">
        <v>217</v>
      </c>
      <c r="C570" t="s">
        <v>170</v>
      </c>
      <c r="D570">
        <v>1</v>
      </c>
      <c r="E570">
        <v>0</v>
      </c>
      <c r="F570" s="1">
        <v>249933</v>
      </c>
      <c r="G570" s="1">
        <v>249933</v>
      </c>
      <c r="H570" s="1">
        <v>0</v>
      </c>
      <c r="I570" s="3">
        <v>1</v>
      </c>
      <c r="J570" s="3">
        <v>2</v>
      </c>
      <c r="K570" s="3">
        <v>21</v>
      </c>
      <c r="L570" s="3">
        <v>69</v>
      </c>
      <c r="M570" s="3">
        <v>43</v>
      </c>
      <c r="N570" s="3">
        <v>5</v>
      </c>
      <c r="O570" s="3">
        <v>0</v>
      </c>
      <c r="P570" s="3">
        <v>0</v>
      </c>
      <c r="Q570" s="3">
        <v>0</v>
      </c>
      <c r="R570" s="3">
        <v>9</v>
      </c>
      <c r="S570" s="2">
        <f t="shared" si="18"/>
        <v>150</v>
      </c>
      <c r="T570" s="4">
        <f t="shared" si="19"/>
        <v>1666.22</v>
      </c>
    </row>
    <row r="571" spans="1:20" hidden="1" x14ac:dyDescent="0.3">
      <c r="A571">
        <v>353870905000403</v>
      </c>
      <c r="B571" t="s">
        <v>217</v>
      </c>
      <c r="C571" t="s">
        <v>125</v>
      </c>
      <c r="D571">
        <v>1</v>
      </c>
      <c r="E571">
        <v>0</v>
      </c>
      <c r="F571" s="1">
        <v>307665</v>
      </c>
      <c r="G571" s="1">
        <v>307665</v>
      </c>
      <c r="H571" s="1">
        <v>0</v>
      </c>
      <c r="I571" s="3">
        <v>0</v>
      </c>
      <c r="J571" s="3">
        <v>1</v>
      </c>
      <c r="K571" s="3">
        <v>29</v>
      </c>
      <c r="L571" s="3">
        <v>56</v>
      </c>
      <c r="M571" s="3">
        <v>50</v>
      </c>
      <c r="N571" s="3">
        <v>11</v>
      </c>
      <c r="O571" s="3">
        <v>5</v>
      </c>
      <c r="P571" s="3">
        <v>2</v>
      </c>
      <c r="Q571" s="3">
        <v>0</v>
      </c>
      <c r="R571" s="3">
        <v>31</v>
      </c>
      <c r="S571" s="2">
        <f t="shared" si="18"/>
        <v>185</v>
      </c>
      <c r="T571" s="4">
        <f t="shared" si="19"/>
        <v>1663.0540540540539</v>
      </c>
    </row>
    <row r="572" spans="1:20" hidden="1" x14ac:dyDescent="0.3">
      <c r="A572">
        <v>353870905000208</v>
      </c>
      <c r="B572" t="s">
        <v>217</v>
      </c>
      <c r="C572" t="s">
        <v>167</v>
      </c>
      <c r="D572">
        <v>1</v>
      </c>
      <c r="E572">
        <v>0</v>
      </c>
      <c r="F572" s="1">
        <v>313774</v>
      </c>
      <c r="G572" s="1">
        <v>313774</v>
      </c>
      <c r="H572" s="1">
        <v>0</v>
      </c>
      <c r="I572" s="3">
        <v>2</v>
      </c>
      <c r="J572" s="3">
        <v>9</v>
      </c>
      <c r="K572" s="3">
        <v>36</v>
      </c>
      <c r="L572" s="3">
        <v>81</v>
      </c>
      <c r="M572" s="3">
        <v>52</v>
      </c>
      <c r="N572" s="3">
        <v>5</v>
      </c>
      <c r="O572" s="3">
        <v>0</v>
      </c>
      <c r="P572" s="3">
        <v>0</v>
      </c>
      <c r="Q572" s="3">
        <v>0</v>
      </c>
      <c r="R572" s="3">
        <v>4</v>
      </c>
      <c r="S572" s="2">
        <f t="shared" si="18"/>
        <v>189</v>
      </c>
      <c r="T572" s="4">
        <f t="shared" si="19"/>
        <v>1660.1798941798943</v>
      </c>
    </row>
    <row r="573" spans="1:20" hidden="1" x14ac:dyDescent="0.3">
      <c r="A573">
        <v>353870905000408</v>
      </c>
      <c r="B573" t="s">
        <v>217</v>
      </c>
      <c r="C573" t="s">
        <v>182</v>
      </c>
      <c r="D573">
        <v>1</v>
      </c>
      <c r="E573">
        <v>0</v>
      </c>
      <c r="F573" s="1">
        <v>334705</v>
      </c>
      <c r="G573" s="1">
        <v>334705</v>
      </c>
      <c r="H573" s="1">
        <v>0</v>
      </c>
      <c r="I573" s="3">
        <v>2</v>
      </c>
      <c r="J573" s="3">
        <v>7</v>
      </c>
      <c r="K573" s="3">
        <v>50</v>
      </c>
      <c r="L573" s="3">
        <v>70</v>
      </c>
      <c r="M573" s="3">
        <v>55</v>
      </c>
      <c r="N573" s="3">
        <v>10</v>
      </c>
      <c r="O573" s="3">
        <v>3</v>
      </c>
      <c r="P573" s="3">
        <v>0</v>
      </c>
      <c r="Q573" s="3">
        <v>1</v>
      </c>
      <c r="R573" s="3">
        <v>4</v>
      </c>
      <c r="S573" s="2">
        <f t="shared" si="18"/>
        <v>202</v>
      </c>
      <c r="T573" s="4">
        <f t="shared" si="19"/>
        <v>1656.9554455445545</v>
      </c>
    </row>
    <row r="574" spans="1:20" hidden="1" x14ac:dyDescent="0.3">
      <c r="A574">
        <v>353870925000007</v>
      </c>
      <c r="B574" t="s">
        <v>217</v>
      </c>
      <c r="C574" t="s">
        <v>218</v>
      </c>
      <c r="D574">
        <v>1</v>
      </c>
      <c r="E574">
        <v>0</v>
      </c>
      <c r="F574" s="1">
        <v>319558</v>
      </c>
      <c r="G574" s="1">
        <v>319558</v>
      </c>
      <c r="H574" s="1">
        <v>0</v>
      </c>
      <c r="I574" s="3">
        <v>0</v>
      </c>
      <c r="J574" s="3">
        <v>3</v>
      </c>
      <c r="K574" s="3">
        <v>34</v>
      </c>
      <c r="L574" s="3">
        <v>67</v>
      </c>
      <c r="M574" s="3">
        <v>67</v>
      </c>
      <c r="N574" s="3">
        <v>8</v>
      </c>
      <c r="O574" s="3">
        <v>1</v>
      </c>
      <c r="P574" s="3">
        <v>0</v>
      </c>
      <c r="Q574" s="3">
        <v>0</v>
      </c>
      <c r="R574" s="3">
        <v>13</v>
      </c>
      <c r="S574" s="2">
        <f t="shared" si="18"/>
        <v>193</v>
      </c>
      <c r="T574" s="4">
        <f t="shared" si="19"/>
        <v>1655.740932642487</v>
      </c>
    </row>
    <row r="575" spans="1:20" hidden="1" x14ac:dyDescent="0.3">
      <c r="A575">
        <v>353870925000009</v>
      </c>
      <c r="B575" t="s">
        <v>217</v>
      </c>
      <c r="C575" t="s">
        <v>218</v>
      </c>
      <c r="D575">
        <v>2</v>
      </c>
      <c r="E575">
        <v>0</v>
      </c>
      <c r="F575" s="1">
        <v>134085</v>
      </c>
      <c r="G575" s="1">
        <v>134085</v>
      </c>
      <c r="H575" s="1">
        <v>0</v>
      </c>
      <c r="I575" s="3">
        <v>0</v>
      </c>
      <c r="J575" s="3">
        <v>3</v>
      </c>
      <c r="K575" s="3">
        <v>13</v>
      </c>
      <c r="L575" s="3">
        <v>22</v>
      </c>
      <c r="M575" s="3">
        <v>23</v>
      </c>
      <c r="N575" s="3">
        <v>1</v>
      </c>
      <c r="O575" s="3">
        <v>3</v>
      </c>
      <c r="P575" s="3">
        <v>1</v>
      </c>
      <c r="Q575" s="3">
        <v>1</v>
      </c>
      <c r="R575" s="3">
        <v>14</v>
      </c>
      <c r="S575" s="2">
        <f t="shared" si="18"/>
        <v>81</v>
      </c>
      <c r="T575" s="4">
        <f t="shared" si="19"/>
        <v>1655.3703703703704</v>
      </c>
    </row>
    <row r="576" spans="1:20" hidden="1" x14ac:dyDescent="0.3">
      <c r="A576">
        <v>353870905000490</v>
      </c>
      <c r="B576" t="s">
        <v>217</v>
      </c>
      <c r="C576" t="s">
        <v>173</v>
      </c>
      <c r="D576">
        <v>1</v>
      </c>
      <c r="E576">
        <v>0</v>
      </c>
      <c r="F576" s="1">
        <v>49450</v>
      </c>
      <c r="G576" s="1">
        <v>49450</v>
      </c>
      <c r="H576" s="1">
        <v>0</v>
      </c>
      <c r="I576" s="3">
        <v>0</v>
      </c>
      <c r="J576" s="3">
        <v>2</v>
      </c>
      <c r="K576" s="3">
        <v>7</v>
      </c>
      <c r="L576" s="3">
        <v>12</v>
      </c>
      <c r="M576" s="3">
        <v>8</v>
      </c>
      <c r="N576" s="3">
        <v>1</v>
      </c>
      <c r="O576" s="3">
        <v>0</v>
      </c>
      <c r="P576" s="3">
        <v>0</v>
      </c>
      <c r="Q576" s="3">
        <v>0</v>
      </c>
      <c r="R576" s="3">
        <v>0</v>
      </c>
      <c r="S576" s="2">
        <f t="shared" si="18"/>
        <v>30</v>
      </c>
      <c r="T576" s="4">
        <f t="shared" si="19"/>
        <v>1648.3333333333333</v>
      </c>
    </row>
    <row r="577" spans="1:20" hidden="1" x14ac:dyDescent="0.3">
      <c r="A577">
        <v>353870905000527</v>
      </c>
      <c r="B577" t="s">
        <v>217</v>
      </c>
      <c r="C577" t="s">
        <v>176</v>
      </c>
      <c r="D577">
        <v>1</v>
      </c>
      <c r="E577">
        <v>0</v>
      </c>
      <c r="F577" s="1">
        <v>13090</v>
      </c>
      <c r="G577" s="1">
        <v>13090</v>
      </c>
      <c r="H577" s="1">
        <v>0</v>
      </c>
      <c r="I577" s="3">
        <v>0</v>
      </c>
      <c r="J577" s="3">
        <v>0</v>
      </c>
      <c r="K577" s="3">
        <v>0</v>
      </c>
      <c r="L577" s="3">
        <v>5</v>
      </c>
      <c r="M577" s="3">
        <v>3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2">
        <f t="shared" si="18"/>
        <v>8</v>
      </c>
      <c r="T577" s="4">
        <f t="shared" si="19"/>
        <v>1636.25</v>
      </c>
    </row>
    <row r="578" spans="1:20" hidden="1" x14ac:dyDescent="0.3">
      <c r="A578">
        <v>353870905000348</v>
      </c>
      <c r="B578" t="s">
        <v>217</v>
      </c>
      <c r="C578" t="s">
        <v>173</v>
      </c>
      <c r="D578">
        <v>1</v>
      </c>
      <c r="E578">
        <v>0</v>
      </c>
      <c r="F578" s="1">
        <v>258524</v>
      </c>
      <c r="G578" s="1">
        <v>258524</v>
      </c>
      <c r="H578" s="1">
        <v>0</v>
      </c>
      <c r="I578" s="3">
        <v>1</v>
      </c>
      <c r="J578" s="3">
        <v>7</v>
      </c>
      <c r="K578" s="3">
        <v>33</v>
      </c>
      <c r="L578" s="3">
        <v>74</v>
      </c>
      <c r="M578" s="3">
        <v>37</v>
      </c>
      <c r="N578" s="3">
        <v>3</v>
      </c>
      <c r="O578" s="3">
        <v>1</v>
      </c>
      <c r="P578" s="3">
        <v>0</v>
      </c>
      <c r="Q578" s="3">
        <v>0</v>
      </c>
      <c r="R578" s="3">
        <v>2</v>
      </c>
      <c r="S578" s="2">
        <f t="shared" si="18"/>
        <v>158</v>
      </c>
      <c r="T578" s="4">
        <f t="shared" si="19"/>
        <v>1636.2278481012659</v>
      </c>
    </row>
    <row r="579" spans="1:20" hidden="1" x14ac:dyDescent="0.3">
      <c r="A579">
        <v>353870935000033</v>
      </c>
      <c r="B579" t="s">
        <v>217</v>
      </c>
      <c r="C579" t="s">
        <v>161</v>
      </c>
      <c r="D579">
        <v>1</v>
      </c>
      <c r="E579">
        <v>0</v>
      </c>
      <c r="F579" s="1">
        <v>233880</v>
      </c>
      <c r="G579" s="1">
        <v>233880</v>
      </c>
      <c r="H579" s="1">
        <v>0</v>
      </c>
      <c r="I579" s="3">
        <v>0</v>
      </c>
      <c r="J579" s="3">
        <v>2</v>
      </c>
      <c r="K579" s="3">
        <v>26</v>
      </c>
      <c r="L579" s="3">
        <v>62</v>
      </c>
      <c r="M579" s="3">
        <v>35</v>
      </c>
      <c r="N579" s="3">
        <v>7</v>
      </c>
      <c r="O579" s="3">
        <v>2</v>
      </c>
      <c r="P579" s="3">
        <v>0</v>
      </c>
      <c r="Q579" s="3">
        <v>0</v>
      </c>
      <c r="R579" s="3">
        <v>9</v>
      </c>
      <c r="S579" s="2">
        <f t="shared" ref="S579:S642" si="20">SUM(I579:R579)</f>
        <v>143</v>
      </c>
      <c r="T579" s="4">
        <f t="shared" ref="T579:T642" si="21">F579/S579</f>
        <v>1635.5244755244755</v>
      </c>
    </row>
    <row r="580" spans="1:20" hidden="1" x14ac:dyDescent="0.3">
      <c r="A580">
        <v>353870905000258</v>
      </c>
      <c r="B580" t="s">
        <v>217</v>
      </c>
      <c r="C580" t="s">
        <v>135</v>
      </c>
      <c r="D580">
        <v>1</v>
      </c>
      <c r="E580">
        <v>1</v>
      </c>
      <c r="F580" s="1">
        <v>380535</v>
      </c>
      <c r="G580" s="1">
        <v>380025</v>
      </c>
      <c r="H580" s="1">
        <v>510</v>
      </c>
      <c r="I580" s="3">
        <v>0</v>
      </c>
      <c r="J580" s="3">
        <v>4</v>
      </c>
      <c r="K580" s="3">
        <v>23</v>
      </c>
      <c r="L580" s="3">
        <v>78</v>
      </c>
      <c r="M580" s="3">
        <v>81</v>
      </c>
      <c r="N580" s="3">
        <v>22</v>
      </c>
      <c r="O580" s="3">
        <v>8</v>
      </c>
      <c r="P580" s="3">
        <v>3</v>
      </c>
      <c r="Q580" s="3">
        <v>0</v>
      </c>
      <c r="R580" s="3">
        <v>14</v>
      </c>
      <c r="S580" s="2">
        <f t="shared" si="20"/>
        <v>233</v>
      </c>
      <c r="T580" s="4">
        <f t="shared" si="21"/>
        <v>1633.1974248927038</v>
      </c>
    </row>
    <row r="581" spans="1:20" hidden="1" x14ac:dyDescent="0.3">
      <c r="A581">
        <v>353870925000008</v>
      </c>
      <c r="B581" t="s">
        <v>217</v>
      </c>
      <c r="C581" t="s">
        <v>218</v>
      </c>
      <c r="D581">
        <v>2</v>
      </c>
      <c r="E581">
        <v>0</v>
      </c>
      <c r="F581" s="1">
        <v>188833</v>
      </c>
      <c r="G581" s="1">
        <v>188833</v>
      </c>
      <c r="H581" s="1">
        <v>0</v>
      </c>
      <c r="I581" s="3">
        <v>0</v>
      </c>
      <c r="J581" s="3">
        <v>7</v>
      </c>
      <c r="K581" s="3">
        <v>15</v>
      </c>
      <c r="L581" s="3">
        <v>43</v>
      </c>
      <c r="M581" s="3">
        <v>34</v>
      </c>
      <c r="N581" s="3">
        <v>6</v>
      </c>
      <c r="O581" s="3">
        <v>4</v>
      </c>
      <c r="P581" s="3">
        <v>1</v>
      </c>
      <c r="Q581" s="3">
        <v>0</v>
      </c>
      <c r="R581" s="3">
        <v>6</v>
      </c>
      <c r="S581" s="2">
        <f t="shared" si="20"/>
        <v>116</v>
      </c>
      <c r="T581" s="4">
        <f t="shared" si="21"/>
        <v>1627.8706896551723</v>
      </c>
    </row>
    <row r="582" spans="1:20" hidden="1" x14ac:dyDescent="0.3">
      <c r="A582">
        <v>353870905000181</v>
      </c>
      <c r="B582" t="s">
        <v>217</v>
      </c>
      <c r="C582" t="s">
        <v>145</v>
      </c>
      <c r="D582">
        <v>1</v>
      </c>
      <c r="E582">
        <v>0</v>
      </c>
      <c r="F582" s="1">
        <v>429720</v>
      </c>
      <c r="G582" s="1">
        <v>429720</v>
      </c>
      <c r="H582" s="1">
        <v>0</v>
      </c>
      <c r="I582" s="3">
        <v>1</v>
      </c>
      <c r="J582" s="3">
        <v>5</v>
      </c>
      <c r="K582" s="3">
        <v>38</v>
      </c>
      <c r="L582" s="3">
        <v>66</v>
      </c>
      <c r="M582" s="3">
        <v>81</v>
      </c>
      <c r="N582" s="3">
        <v>22</v>
      </c>
      <c r="O582" s="3">
        <v>12</v>
      </c>
      <c r="P582" s="3">
        <v>2</v>
      </c>
      <c r="Q582" s="3">
        <v>0</v>
      </c>
      <c r="R582" s="3">
        <v>37</v>
      </c>
      <c r="S582" s="2">
        <f t="shared" si="20"/>
        <v>264</v>
      </c>
      <c r="T582" s="4">
        <f t="shared" si="21"/>
        <v>1627.7272727272727</v>
      </c>
    </row>
    <row r="583" spans="1:20" hidden="1" x14ac:dyDescent="0.3">
      <c r="A583">
        <v>353870905000287</v>
      </c>
      <c r="B583" t="s">
        <v>217</v>
      </c>
      <c r="C583" t="s">
        <v>57</v>
      </c>
      <c r="D583">
        <v>2</v>
      </c>
      <c r="E583">
        <v>0</v>
      </c>
      <c r="F583" s="1">
        <v>12998</v>
      </c>
      <c r="G583" s="1">
        <v>12998</v>
      </c>
      <c r="H583" s="1">
        <v>0</v>
      </c>
      <c r="I583" s="3">
        <v>0</v>
      </c>
      <c r="J583" s="3">
        <v>0</v>
      </c>
      <c r="K583" s="3">
        <v>1</v>
      </c>
      <c r="L583" s="3">
        <v>3</v>
      </c>
      <c r="M583" s="3">
        <v>4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2">
        <f t="shared" si="20"/>
        <v>8</v>
      </c>
      <c r="T583" s="4">
        <f t="shared" si="21"/>
        <v>1624.75</v>
      </c>
    </row>
    <row r="584" spans="1:20" hidden="1" x14ac:dyDescent="0.3">
      <c r="A584">
        <v>353870935000012</v>
      </c>
      <c r="B584" t="s">
        <v>217</v>
      </c>
      <c r="C584" t="s">
        <v>155</v>
      </c>
      <c r="D584">
        <v>1</v>
      </c>
      <c r="E584">
        <v>0</v>
      </c>
      <c r="F584" s="1">
        <v>288077</v>
      </c>
      <c r="G584" s="1">
        <v>288077</v>
      </c>
      <c r="H584" s="1">
        <v>0</v>
      </c>
      <c r="I584" s="3">
        <v>0</v>
      </c>
      <c r="J584" s="3">
        <v>5</v>
      </c>
      <c r="K584" s="3">
        <v>32</v>
      </c>
      <c r="L584" s="3">
        <v>72</v>
      </c>
      <c r="M584" s="3">
        <v>47</v>
      </c>
      <c r="N584" s="3">
        <v>12</v>
      </c>
      <c r="O584" s="3">
        <v>2</v>
      </c>
      <c r="P584" s="3">
        <v>1</v>
      </c>
      <c r="Q584" s="3">
        <v>0</v>
      </c>
      <c r="R584" s="3">
        <v>9</v>
      </c>
      <c r="S584" s="2">
        <f t="shared" si="20"/>
        <v>180</v>
      </c>
      <c r="T584" s="4">
        <f t="shared" si="21"/>
        <v>1600.4277777777777</v>
      </c>
    </row>
    <row r="585" spans="1:20" hidden="1" x14ac:dyDescent="0.3">
      <c r="A585">
        <v>353870905000324</v>
      </c>
      <c r="B585" t="s">
        <v>217</v>
      </c>
      <c r="C585" t="s">
        <v>125</v>
      </c>
      <c r="D585">
        <v>1</v>
      </c>
      <c r="E585">
        <v>0</v>
      </c>
      <c r="F585" s="1">
        <v>66906</v>
      </c>
      <c r="G585" s="1">
        <v>66906</v>
      </c>
      <c r="H585" s="1">
        <v>0</v>
      </c>
      <c r="I585" s="3">
        <v>1</v>
      </c>
      <c r="J585" s="3">
        <v>2</v>
      </c>
      <c r="K585" s="3">
        <v>9</v>
      </c>
      <c r="L585" s="3">
        <v>15</v>
      </c>
      <c r="M585" s="3">
        <v>8</v>
      </c>
      <c r="N585" s="3">
        <v>3</v>
      </c>
      <c r="O585" s="3">
        <v>1</v>
      </c>
      <c r="P585" s="3">
        <v>0</v>
      </c>
      <c r="Q585" s="3">
        <v>0</v>
      </c>
      <c r="R585" s="3">
        <v>3</v>
      </c>
      <c r="S585" s="2">
        <f t="shared" si="20"/>
        <v>42</v>
      </c>
      <c r="T585" s="4">
        <f t="shared" si="21"/>
        <v>1593</v>
      </c>
    </row>
    <row r="586" spans="1:20" hidden="1" x14ac:dyDescent="0.3">
      <c r="A586">
        <v>353870905000363</v>
      </c>
      <c r="B586" t="s">
        <v>217</v>
      </c>
      <c r="C586" t="s">
        <v>176</v>
      </c>
      <c r="D586">
        <v>1</v>
      </c>
      <c r="E586">
        <v>0</v>
      </c>
      <c r="F586" s="1">
        <v>50928</v>
      </c>
      <c r="G586" s="1">
        <v>50928</v>
      </c>
      <c r="H586" s="1">
        <v>0</v>
      </c>
      <c r="I586" s="3">
        <v>0</v>
      </c>
      <c r="J586" s="3">
        <v>2</v>
      </c>
      <c r="K586" s="3">
        <v>5</v>
      </c>
      <c r="L586" s="3">
        <v>14</v>
      </c>
      <c r="M586" s="3">
        <v>10</v>
      </c>
      <c r="N586" s="3">
        <v>1</v>
      </c>
      <c r="O586" s="3">
        <v>0</v>
      </c>
      <c r="P586" s="3">
        <v>0</v>
      </c>
      <c r="Q586" s="3">
        <v>0</v>
      </c>
      <c r="R586" s="3">
        <v>0</v>
      </c>
      <c r="S586" s="2">
        <f t="shared" si="20"/>
        <v>32</v>
      </c>
      <c r="T586" s="4">
        <f t="shared" si="21"/>
        <v>1591.5</v>
      </c>
    </row>
    <row r="587" spans="1:20" hidden="1" x14ac:dyDescent="0.3">
      <c r="A587">
        <v>353870935000008</v>
      </c>
      <c r="B587" t="s">
        <v>217</v>
      </c>
      <c r="C587" t="s">
        <v>170</v>
      </c>
      <c r="D587">
        <v>1</v>
      </c>
      <c r="E587">
        <v>0</v>
      </c>
      <c r="F587" s="1">
        <v>103171</v>
      </c>
      <c r="G587" s="1">
        <v>103171</v>
      </c>
      <c r="H587" s="1">
        <v>0</v>
      </c>
      <c r="I587" s="3">
        <v>3</v>
      </c>
      <c r="J587" s="3">
        <v>3</v>
      </c>
      <c r="K587" s="3">
        <v>9</v>
      </c>
      <c r="L587" s="3">
        <v>31</v>
      </c>
      <c r="M587" s="3">
        <v>15</v>
      </c>
      <c r="N587" s="3">
        <v>1</v>
      </c>
      <c r="O587" s="3">
        <v>2</v>
      </c>
      <c r="P587" s="3">
        <v>0</v>
      </c>
      <c r="Q587" s="3">
        <v>0</v>
      </c>
      <c r="R587" s="3">
        <v>1</v>
      </c>
      <c r="S587" s="2">
        <f t="shared" si="20"/>
        <v>65</v>
      </c>
      <c r="T587" s="4">
        <f t="shared" si="21"/>
        <v>1587.2461538461539</v>
      </c>
    </row>
    <row r="588" spans="1:20" hidden="1" x14ac:dyDescent="0.3">
      <c r="A588">
        <v>353870935000080</v>
      </c>
      <c r="B588" t="s">
        <v>217</v>
      </c>
      <c r="C588" t="s">
        <v>218</v>
      </c>
      <c r="D588">
        <v>7</v>
      </c>
      <c r="E588">
        <v>0</v>
      </c>
      <c r="F588" s="1">
        <v>123801</v>
      </c>
      <c r="G588" s="1">
        <v>123801</v>
      </c>
      <c r="H588" s="1">
        <v>0</v>
      </c>
      <c r="I588" s="3">
        <v>1</v>
      </c>
      <c r="J588" s="3">
        <v>4</v>
      </c>
      <c r="K588" s="3">
        <v>11</v>
      </c>
      <c r="L588" s="3">
        <v>38</v>
      </c>
      <c r="M588" s="3">
        <v>18</v>
      </c>
      <c r="N588" s="3">
        <v>3</v>
      </c>
      <c r="O588" s="3">
        <v>2</v>
      </c>
      <c r="P588" s="3">
        <v>0</v>
      </c>
      <c r="Q588" s="3">
        <v>0</v>
      </c>
      <c r="R588" s="3">
        <v>1</v>
      </c>
      <c r="S588" s="2">
        <f t="shared" si="20"/>
        <v>78</v>
      </c>
      <c r="T588" s="4">
        <f t="shared" si="21"/>
        <v>1587.1923076923076</v>
      </c>
    </row>
    <row r="589" spans="1:20" hidden="1" x14ac:dyDescent="0.3">
      <c r="A589">
        <v>353870905000364</v>
      </c>
      <c r="B589" t="s">
        <v>217</v>
      </c>
      <c r="C589" t="s">
        <v>182</v>
      </c>
      <c r="D589">
        <v>2</v>
      </c>
      <c r="E589">
        <v>0</v>
      </c>
      <c r="F589" s="1">
        <v>379382</v>
      </c>
      <c r="G589" s="1">
        <v>379382</v>
      </c>
      <c r="H589" s="1">
        <v>0</v>
      </c>
      <c r="I589" s="3">
        <v>8</v>
      </c>
      <c r="J589" s="3">
        <v>13</v>
      </c>
      <c r="K589" s="3">
        <v>52</v>
      </c>
      <c r="L589" s="3">
        <v>80</v>
      </c>
      <c r="M589" s="3">
        <v>58</v>
      </c>
      <c r="N589" s="3">
        <v>11</v>
      </c>
      <c r="O589" s="3">
        <v>5</v>
      </c>
      <c r="P589" s="3">
        <v>3</v>
      </c>
      <c r="Q589" s="3">
        <v>0</v>
      </c>
      <c r="R589" s="3">
        <v>10</v>
      </c>
      <c r="S589" s="2">
        <f t="shared" si="20"/>
        <v>240</v>
      </c>
      <c r="T589" s="4">
        <f t="shared" si="21"/>
        <v>1580.7583333333334</v>
      </c>
    </row>
    <row r="590" spans="1:20" hidden="1" x14ac:dyDescent="0.3">
      <c r="A590">
        <v>353870905000356</v>
      </c>
      <c r="B590" t="s">
        <v>217</v>
      </c>
      <c r="C590" t="s">
        <v>173</v>
      </c>
      <c r="D590">
        <v>1</v>
      </c>
      <c r="E590">
        <v>0</v>
      </c>
      <c r="F590" s="1">
        <v>141777</v>
      </c>
      <c r="G590" s="1">
        <v>141777</v>
      </c>
      <c r="H590" s="1">
        <v>0</v>
      </c>
      <c r="I590" s="3">
        <v>0</v>
      </c>
      <c r="J590" s="3">
        <v>3</v>
      </c>
      <c r="K590" s="3">
        <v>18</v>
      </c>
      <c r="L590" s="3">
        <v>30</v>
      </c>
      <c r="M590" s="3">
        <v>30</v>
      </c>
      <c r="N590" s="3">
        <v>6</v>
      </c>
      <c r="O590" s="3">
        <v>1</v>
      </c>
      <c r="P590" s="3">
        <v>0</v>
      </c>
      <c r="Q590" s="3">
        <v>0</v>
      </c>
      <c r="R590" s="3">
        <v>2</v>
      </c>
      <c r="S590" s="2">
        <f t="shared" si="20"/>
        <v>90</v>
      </c>
      <c r="T590" s="4">
        <f t="shared" si="21"/>
        <v>1575.3</v>
      </c>
    </row>
    <row r="591" spans="1:20" hidden="1" x14ac:dyDescent="0.3">
      <c r="A591">
        <v>353870905000481</v>
      </c>
      <c r="B591" t="s">
        <v>217</v>
      </c>
      <c r="C591" t="s">
        <v>220</v>
      </c>
      <c r="D591">
        <v>1</v>
      </c>
      <c r="E591">
        <v>0</v>
      </c>
      <c r="F591" s="1">
        <v>20400</v>
      </c>
      <c r="G591" s="1">
        <v>20400</v>
      </c>
      <c r="H591" s="1">
        <v>0</v>
      </c>
      <c r="I591" s="3">
        <v>0</v>
      </c>
      <c r="J591" s="3">
        <v>0</v>
      </c>
      <c r="K591" s="3">
        <v>4</v>
      </c>
      <c r="L591" s="3">
        <v>2</v>
      </c>
      <c r="M591" s="3">
        <v>3</v>
      </c>
      <c r="N591" s="3">
        <v>2</v>
      </c>
      <c r="O591" s="3">
        <v>0</v>
      </c>
      <c r="P591" s="3">
        <v>0</v>
      </c>
      <c r="Q591" s="3">
        <v>0</v>
      </c>
      <c r="R591" s="3">
        <v>2</v>
      </c>
      <c r="S591" s="2">
        <f t="shared" si="20"/>
        <v>13</v>
      </c>
      <c r="T591" s="4">
        <f t="shared" si="21"/>
        <v>1569.2307692307693</v>
      </c>
    </row>
    <row r="592" spans="1:20" hidden="1" x14ac:dyDescent="0.3">
      <c r="A592">
        <v>353870910000015</v>
      </c>
      <c r="B592" t="s">
        <v>217</v>
      </c>
      <c r="C592" t="s">
        <v>218</v>
      </c>
      <c r="D592">
        <v>7</v>
      </c>
      <c r="E592">
        <v>0</v>
      </c>
      <c r="F592" s="1">
        <v>82304</v>
      </c>
      <c r="G592" s="1">
        <v>82304</v>
      </c>
      <c r="H592" s="1">
        <v>0</v>
      </c>
      <c r="I592" s="3">
        <v>0</v>
      </c>
      <c r="J592" s="3">
        <v>2</v>
      </c>
      <c r="K592" s="3">
        <v>13</v>
      </c>
      <c r="L592" s="3">
        <v>23</v>
      </c>
      <c r="M592" s="3">
        <v>11</v>
      </c>
      <c r="N592" s="3">
        <v>2</v>
      </c>
      <c r="O592" s="3">
        <v>0</v>
      </c>
      <c r="P592" s="3">
        <v>0</v>
      </c>
      <c r="Q592" s="3">
        <v>0</v>
      </c>
      <c r="R592" s="3">
        <v>2</v>
      </c>
      <c r="S592" s="2">
        <f t="shared" si="20"/>
        <v>53</v>
      </c>
      <c r="T592" s="4">
        <f t="shared" si="21"/>
        <v>1552.9056603773586</v>
      </c>
    </row>
    <row r="593" spans="1:20" hidden="1" x14ac:dyDescent="0.3">
      <c r="A593">
        <v>353870935000026</v>
      </c>
      <c r="B593" t="s">
        <v>217</v>
      </c>
      <c r="C593" t="s">
        <v>138</v>
      </c>
      <c r="D593">
        <v>2</v>
      </c>
      <c r="E593">
        <v>0</v>
      </c>
      <c r="F593" s="1">
        <v>164365</v>
      </c>
      <c r="G593" s="1">
        <v>164365</v>
      </c>
      <c r="H593" s="1">
        <v>0</v>
      </c>
      <c r="I593" s="3">
        <v>1</v>
      </c>
      <c r="J593" s="3">
        <v>2</v>
      </c>
      <c r="K593" s="3">
        <v>16</v>
      </c>
      <c r="L593" s="3">
        <v>26</v>
      </c>
      <c r="M593" s="3">
        <v>28</v>
      </c>
      <c r="N593" s="3">
        <v>7</v>
      </c>
      <c r="O593" s="3">
        <v>1</v>
      </c>
      <c r="P593" s="3">
        <v>1</v>
      </c>
      <c r="Q593" s="3">
        <v>0</v>
      </c>
      <c r="R593" s="3">
        <v>24</v>
      </c>
      <c r="S593" s="2">
        <f t="shared" si="20"/>
        <v>106</v>
      </c>
      <c r="T593" s="4">
        <f t="shared" si="21"/>
        <v>1550.6132075471698</v>
      </c>
    </row>
    <row r="594" spans="1:20" hidden="1" x14ac:dyDescent="0.3">
      <c r="A594">
        <v>353870905000369</v>
      </c>
      <c r="B594" t="s">
        <v>217</v>
      </c>
      <c r="C594" t="s">
        <v>149</v>
      </c>
      <c r="D594">
        <v>1</v>
      </c>
      <c r="E594">
        <v>0</v>
      </c>
      <c r="F594" s="1">
        <v>838468</v>
      </c>
      <c r="G594" s="1">
        <v>838468</v>
      </c>
      <c r="H594" s="1">
        <v>0</v>
      </c>
      <c r="I594" s="3">
        <v>2</v>
      </c>
      <c r="J594" s="3">
        <v>26</v>
      </c>
      <c r="K594" s="3">
        <v>87</v>
      </c>
      <c r="L594" s="3">
        <v>224</v>
      </c>
      <c r="M594" s="3">
        <v>171</v>
      </c>
      <c r="N594" s="3">
        <v>19</v>
      </c>
      <c r="O594" s="3">
        <v>3</v>
      </c>
      <c r="P594" s="3">
        <v>2</v>
      </c>
      <c r="Q594" s="3">
        <v>0</v>
      </c>
      <c r="R594" s="3">
        <v>8</v>
      </c>
      <c r="S594" s="2">
        <f t="shared" si="20"/>
        <v>542</v>
      </c>
      <c r="T594" s="4">
        <f t="shared" si="21"/>
        <v>1546.9889298892988</v>
      </c>
    </row>
    <row r="595" spans="1:20" hidden="1" x14ac:dyDescent="0.3">
      <c r="A595">
        <v>353870905000411</v>
      </c>
      <c r="B595" t="s">
        <v>217</v>
      </c>
      <c r="C595" t="s">
        <v>182</v>
      </c>
      <c r="D595">
        <v>1</v>
      </c>
      <c r="E595">
        <v>0</v>
      </c>
      <c r="F595" s="1">
        <v>431493</v>
      </c>
      <c r="G595" s="1">
        <v>431493</v>
      </c>
      <c r="H595" s="1">
        <v>0</v>
      </c>
      <c r="I595" s="3">
        <v>1</v>
      </c>
      <c r="J595" s="3">
        <v>12</v>
      </c>
      <c r="K595" s="3">
        <v>58</v>
      </c>
      <c r="L595" s="3">
        <v>109</v>
      </c>
      <c r="M595" s="3">
        <v>84</v>
      </c>
      <c r="N595" s="3">
        <v>11</v>
      </c>
      <c r="O595" s="3">
        <v>3</v>
      </c>
      <c r="P595" s="3">
        <v>1</v>
      </c>
      <c r="Q595" s="3">
        <v>0</v>
      </c>
      <c r="R595" s="3">
        <v>0</v>
      </c>
      <c r="S595" s="2">
        <f t="shared" si="20"/>
        <v>279</v>
      </c>
      <c r="T595" s="4">
        <f t="shared" si="21"/>
        <v>1546.5698924731182</v>
      </c>
    </row>
    <row r="596" spans="1:20" hidden="1" x14ac:dyDescent="0.3">
      <c r="A596">
        <v>353870935000076</v>
      </c>
      <c r="B596" t="s">
        <v>217</v>
      </c>
      <c r="C596" t="s">
        <v>170</v>
      </c>
      <c r="D596">
        <v>2</v>
      </c>
      <c r="E596">
        <v>0</v>
      </c>
      <c r="F596" s="1">
        <v>516911</v>
      </c>
      <c r="G596" s="1">
        <v>516911</v>
      </c>
      <c r="H596" s="1">
        <v>0</v>
      </c>
      <c r="I596" s="3">
        <v>1</v>
      </c>
      <c r="J596" s="3">
        <v>12</v>
      </c>
      <c r="K596" s="3">
        <v>76</v>
      </c>
      <c r="L596" s="3">
        <v>122</v>
      </c>
      <c r="M596" s="3">
        <v>98</v>
      </c>
      <c r="N596" s="3">
        <v>17</v>
      </c>
      <c r="O596" s="3">
        <v>2</v>
      </c>
      <c r="P596" s="3">
        <v>0</v>
      </c>
      <c r="Q596" s="3">
        <v>0</v>
      </c>
      <c r="R596" s="3">
        <v>9</v>
      </c>
      <c r="S596" s="2">
        <f t="shared" si="20"/>
        <v>337</v>
      </c>
      <c r="T596" s="4">
        <f t="shared" si="21"/>
        <v>1533.8605341246291</v>
      </c>
    </row>
    <row r="597" spans="1:20" hidden="1" x14ac:dyDescent="0.3">
      <c r="A597">
        <v>353870910000010</v>
      </c>
      <c r="B597" t="s">
        <v>217</v>
      </c>
      <c r="C597" t="s">
        <v>218</v>
      </c>
      <c r="D597">
        <v>8</v>
      </c>
      <c r="E597">
        <v>0</v>
      </c>
      <c r="F597" s="1">
        <v>278521</v>
      </c>
      <c r="G597" s="1">
        <v>278521</v>
      </c>
      <c r="H597" s="1">
        <v>0</v>
      </c>
      <c r="I597" s="3">
        <v>1</v>
      </c>
      <c r="J597" s="3">
        <v>4</v>
      </c>
      <c r="K597" s="3">
        <v>21</v>
      </c>
      <c r="L597" s="3">
        <v>49</v>
      </c>
      <c r="M597" s="3">
        <v>54</v>
      </c>
      <c r="N597" s="3">
        <v>15</v>
      </c>
      <c r="O597" s="3">
        <v>5</v>
      </c>
      <c r="P597" s="3">
        <v>0</v>
      </c>
      <c r="Q597" s="3">
        <v>0</v>
      </c>
      <c r="R597" s="3">
        <v>33</v>
      </c>
      <c r="S597" s="2">
        <f t="shared" si="20"/>
        <v>182</v>
      </c>
      <c r="T597" s="4">
        <f t="shared" si="21"/>
        <v>1530.3351648351647</v>
      </c>
    </row>
    <row r="598" spans="1:20" hidden="1" x14ac:dyDescent="0.3">
      <c r="A598">
        <v>353870905000547</v>
      </c>
      <c r="B598" t="s">
        <v>217</v>
      </c>
      <c r="C598" t="s">
        <v>176</v>
      </c>
      <c r="D598">
        <v>1</v>
      </c>
      <c r="E598">
        <v>2</v>
      </c>
      <c r="F598" s="1">
        <v>235225</v>
      </c>
      <c r="G598" s="1">
        <v>233225</v>
      </c>
      <c r="H598" s="1">
        <v>2000</v>
      </c>
      <c r="I598" s="3">
        <v>1</v>
      </c>
      <c r="J598" s="3">
        <v>10</v>
      </c>
      <c r="K598" s="3">
        <v>40</v>
      </c>
      <c r="L598" s="3">
        <v>57</v>
      </c>
      <c r="M598" s="3">
        <v>34</v>
      </c>
      <c r="N598" s="3">
        <v>2</v>
      </c>
      <c r="O598" s="3">
        <v>5</v>
      </c>
      <c r="P598" s="3">
        <v>0</v>
      </c>
      <c r="Q598" s="3">
        <v>0</v>
      </c>
      <c r="R598" s="3">
        <v>5</v>
      </c>
      <c r="S598" s="2">
        <f t="shared" si="20"/>
        <v>154</v>
      </c>
      <c r="T598" s="4">
        <f t="shared" si="21"/>
        <v>1527.4350649350649</v>
      </c>
    </row>
    <row r="599" spans="1:20" hidden="1" x14ac:dyDescent="0.3">
      <c r="A599">
        <v>353870905000328</v>
      </c>
      <c r="B599" t="s">
        <v>217</v>
      </c>
      <c r="C599" t="s">
        <v>188</v>
      </c>
      <c r="D599">
        <v>1</v>
      </c>
      <c r="E599">
        <v>2</v>
      </c>
      <c r="F599" s="1">
        <v>391246</v>
      </c>
      <c r="G599" s="1">
        <v>389736</v>
      </c>
      <c r="H599" s="1">
        <v>1510</v>
      </c>
      <c r="I599" s="3">
        <v>5</v>
      </c>
      <c r="J599" s="3">
        <v>9</v>
      </c>
      <c r="K599" s="3">
        <v>39</v>
      </c>
      <c r="L599" s="3">
        <v>90</v>
      </c>
      <c r="M599" s="3">
        <v>94</v>
      </c>
      <c r="N599" s="3">
        <v>10</v>
      </c>
      <c r="O599" s="3">
        <v>3</v>
      </c>
      <c r="P599" s="3">
        <v>0</v>
      </c>
      <c r="Q599" s="3">
        <v>0</v>
      </c>
      <c r="R599" s="3">
        <v>7</v>
      </c>
      <c r="S599" s="2">
        <f t="shared" si="20"/>
        <v>257</v>
      </c>
      <c r="T599" s="4">
        <f t="shared" si="21"/>
        <v>1522.3579766536966</v>
      </c>
    </row>
    <row r="600" spans="1:20" hidden="1" x14ac:dyDescent="0.3">
      <c r="A600">
        <v>353870905000367</v>
      </c>
      <c r="B600" t="s">
        <v>217</v>
      </c>
      <c r="C600" t="s">
        <v>149</v>
      </c>
      <c r="D600">
        <v>1</v>
      </c>
      <c r="E600">
        <v>0</v>
      </c>
      <c r="F600" s="1">
        <v>281074</v>
      </c>
      <c r="G600" s="1">
        <v>281074</v>
      </c>
      <c r="H600" s="1">
        <v>0</v>
      </c>
      <c r="I600" s="3">
        <v>0</v>
      </c>
      <c r="J600" s="3">
        <v>4</v>
      </c>
      <c r="K600" s="3">
        <v>33</v>
      </c>
      <c r="L600" s="3">
        <v>52</v>
      </c>
      <c r="M600" s="3">
        <v>48</v>
      </c>
      <c r="N600" s="3">
        <v>15</v>
      </c>
      <c r="O600" s="3">
        <v>6</v>
      </c>
      <c r="P600" s="3">
        <v>1</v>
      </c>
      <c r="Q600" s="3">
        <v>0</v>
      </c>
      <c r="R600" s="3">
        <v>27</v>
      </c>
      <c r="S600" s="2">
        <f t="shared" si="20"/>
        <v>186</v>
      </c>
      <c r="T600" s="4">
        <f t="shared" si="21"/>
        <v>1511.1505376344087</v>
      </c>
    </row>
    <row r="601" spans="1:20" hidden="1" x14ac:dyDescent="0.3">
      <c r="A601">
        <v>353870935000082</v>
      </c>
      <c r="B601" t="s">
        <v>217</v>
      </c>
      <c r="C601" t="s">
        <v>218</v>
      </c>
      <c r="D601">
        <v>6</v>
      </c>
      <c r="E601">
        <v>0</v>
      </c>
      <c r="F601" s="1">
        <v>37724</v>
      </c>
      <c r="G601" s="1">
        <v>37724</v>
      </c>
      <c r="H601" s="1">
        <v>0</v>
      </c>
      <c r="I601" s="3">
        <v>0</v>
      </c>
      <c r="J601" s="3">
        <v>0</v>
      </c>
      <c r="K601" s="3">
        <v>4</v>
      </c>
      <c r="L601" s="3">
        <v>11</v>
      </c>
      <c r="M601" s="3">
        <v>8</v>
      </c>
      <c r="N601" s="3">
        <v>0</v>
      </c>
      <c r="O601" s="3">
        <v>1</v>
      </c>
      <c r="P601" s="3">
        <v>0</v>
      </c>
      <c r="Q601" s="3">
        <v>0</v>
      </c>
      <c r="R601" s="3">
        <v>1</v>
      </c>
      <c r="S601" s="2">
        <f t="shared" si="20"/>
        <v>25</v>
      </c>
      <c r="T601" s="4">
        <f t="shared" si="21"/>
        <v>1508.96</v>
      </c>
    </row>
    <row r="602" spans="1:20" hidden="1" x14ac:dyDescent="0.3">
      <c r="A602">
        <v>353870905000180</v>
      </c>
      <c r="B602" t="s">
        <v>217</v>
      </c>
      <c r="C602" t="s">
        <v>145</v>
      </c>
      <c r="D602">
        <v>1</v>
      </c>
      <c r="E602">
        <v>0</v>
      </c>
      <c r="F602" s="1">
        <v>140119</v>
      </c>
      <c r="G602" s="1">
        <v>140119</v>
      </c>
      <c r="H602" s="1">
        <v>0</v>
      </c>
      <c r="I602" s="3">
        <v>0</v>
      </c>
      <c r="J602" s="3">
        <v>9</v>
      </c>
      <c r="K602" s="3">
        <v>29</v>
      </c>
      <c r="L602" s="3">
        <v>32</v>
      </c>
      <c r="M602" s="3">
        <v>18</v>
      </c>
      <c r="N602" s="3">
        <v>2</v>
      </c>
      <c r="O602" s="3">
        <v>1</v>
      </c>
      <c r="P602" s="3">
        <v>0</v>
      </c>
      <c r="Q602" s="3">
        <v>0</v>
      </c>
      <c r="R602" s="3">
        <v>2</v>
      </c>
      <c r="S602" s="2">
        <f t="shared" si="20"/>
        <v>93</v>
      </c>
      <c r="T602" s="4">
        <f t="shared" si="21"/>
        <v>1506.6559139784947</v>
      </c>
    </row>
    <row r="603" spans="1:20" hidden="1" x14ac:dyDescent="0.3">
      <c r="A603">
        <v>353870905000325</v>
      </c>
      <c r="B603" t="s">
        <v>217</v>
      </c>
      <c r="C603" t="s">
        <v>125</v>
      </c>
      <c r="D603">
        <v>1</v>
      </c>
      <c r="E603">
        <v>0</v>
      </c>
      <c r="F603" s="1">
        <v>222540</v>
      </c>
      <c r="G603" s="1">
        <v>222540</v>
      </c>
      <c r="H603" s="1">
        <v>0</v>
      </c>
      <c r="I603" s="3">
        <v>3</v>
      </c>
      <c r="J603" s="3">
        <v>6</v>
      </c>
      <c r="K603" s="3">
        <v>27</v>
      </c>
      <c r="L603" s="3">
        <v>69</v>
      </c>
      <c r="M603" s="3">
        <v>37</v>
      </c>
      <c r="N603" s="3">
        <v>5</v>
      </c>
      <c r="O603" s="3">
        <v>0</v>
      </c>
      <c r="P603" s="3">
        <v>0</v>
      </c>
      <c r="Q603" s="3">
        <v>0</v>
      </c>
      <c r="R603" s="3">
        <v>3</v>
      </c>
      <c r="S603" s="2">
        <f t="shared" si="20"/>
        <v>150</v>
      </c>
      <c r="T603" s="4">
        <f t="shared" si="21"/>
        <v>1483.6</v>
      </c>
    </row>
    <row r="604" spans="1:20" hidden="1" x14ac:dyDescent="0.3">
      <c r="A604">
        <v>353870910000009</v>
      </c>
      <c r="B604" t="s">
        <v>217</v>
      </c>
      <c r="C604" t="s">
        <v>218</v>
      </c>
      <c r="D604">
        <v>8</v>
      </c>
      <c r="E604">
        <v>0</v>
      </c>
      <c r="F604" s="1">
        <v>128490</v>
      </c>
      <c r="G604" s="1">
        <v>128490</v>
      </c>
      <c r="H604" s="1">
        <v>0</v>
      </c>
      <c r="I604" s="3">
        <v>0</v>
      </c>
      <c r="J604" s="3">
        <v>1</v>
      </c>
      <c r="K604" s="3">
        <v>21</v>
      </c>
      <c r="L604" s="3">
        <v>34</v>
      </c>
      <c r="M604" s="3">
        <v>20</v>
      </c>
      <c r="N604" s="3">
        <v>3</v>
      </c>
      <c r="O604" s="3">
        <v>2</v>
      </c>
      <c r="P604" s="3">
        <v>0</v>
      </c>
      <c r="Q604" s="3">
        <v>0</v>
      </c>
      <c r="R604" s="3">
        <v>6</v>
      </c>
      <c r="S604" s="2">
        <f t="shared" si="20"/>
        <v>87</v>
      </c>
      <c r="T604" s="4">
        <f t="shared" si="21"/>
        <v>1476.8965517241379</v>
      </c>
    </row>
    <row r="605" spans="1:20" hidden="1" x14ac:dyDescent="0.3">
      <c r="A605">
        <v>353870905000409</v>
      </c>
      <c r="B605" t="s">
        <v>217</v>
      </c>
      <c r="C605" t="s">
        <v>182</v>
      </c>
      <c r="D605">
        <v>1</v>
      </c>
      <c r="E605">
        <v>0</v>
      </c>
      <c r="F605" s="1">
        <v>309498</v>
      </c>
      <c r="G605" s="1">
        <v>309498</v>
      </c>
      <c r="H605" s="1">
        <v>0</v>
      </c>
      <c r="I605" s="3">
        <v>3</v>
      </c>
      <c r="J605" s="3">
        <v>13</v>
      </c>
      <c r="K605" s="3">
        <v>47</v>
      </c>
      <c r="L605" s="3">
        <v>62</v>
      </c>
      <c r="M605" s="3">
        <v>46</v>
      </c>
      <c r="N605" s="3">
        <v>9</v>
      </c>
      <c r="O605" s="3">
        <v>2</v>
      </c>
      <c r="P605" s="3">
        <v>0</v>
      </c>
      <c r="Q605" s="3">
        <v>1</v>
      </c>
      <c r="R605" s="3">
        <v>30</v>
      </c>
      <c r="S605" s="2">
        <f t="shared" si="20"/>
        <v>213</v>
      </c>
      <c r="T605" s="4">
        <f t="shared" si="21"/>
        <v>1453.0422535211267</v>
      </c>
    </row>
    <row r="606" spans="1:20" hidden="1" x14ac:dyDescent="0.3">
      <c r="A606">
        <v>353870905000362</v>
      </c>
      <c r="B606" t="s">
        <v>217</v>
      </c>
      <c r="C606" t="s">
        <v>176</v>
      </c>
      <c r="D606">
        <v>1</v>
      </c>
      <c r="E606">
        <v>0</v>
      </c>
      <c r="F606" s="1">
        <v>237835</v>
      </c>
      <c r="G606" s="1">
        <v>237835</v>
      </c>
      <c r="H606" s="1">
        <v>0</v>
      </c>
      <c r="I606" s="3">
        <v>1</v>
      </c>
      <c r="J606" s="3">
        <v>12</v>
      </c>
      <c r="K606" s="3">
        <v>42</v>
      </c>
      <c r="L606" s="3">
        <v>55</v>
      </c>
      <c r="M606" s="3">
        <v>34</v>
      </c>
      <c r="N606" s="3">
        <v>4</v>
      </c>
      <c r="O606" s="3">
        <v>2</v>
      </c>
      <c r="P606" s="3">
        <v>1</v>
      </c>
      <c r="Q606" s="3">
        <v>0</v>
      </c>
      <c r="R606" s="3">
        <v>13</v>
      </c>
      <c r="S606" s="2">
        <f t="shared" si="20"/>
        <v>164</v>
      </c>
      <c r="T606" s="4">
        <f t="shared" si="21"/>
        <v>1450.2134146341464</v>
      </c>
    </row>
    <row r="607" spans="1:20" hidden="1" x14ac:dyDescent="0.3">
      <c r="A607">
        <v>353870905000351</v>
      </c>
      <c r="B607" t="s">
        <v>217</v>
      </c>
      <c r="C607" t="s">
        <v>173</v>
      </c>
      <c r="D607">
        <v>1</v>
      </c>
      <c r="E607">
        <v>0</v>
      </c>
      <c r="F607" s="1">
        <v>113403</v>
      </c>
      <c r="G607" s="1">
        <v>113403</v>
      </c>
      <c r="H607" s="1">
        <v>0</v>
      </c>
      <c r="I607" s="3">
        <v>0</v>
      </c>
      <c r="J607" s="3">
        <v>5</v>
      </c>
      <c r="K607" s="3">
        <v>21</v>
      </c>
      <c r="L607" s="3">
        <v>34</v>
      </c>
      <c r="M607" s="3">
        <v>14</v>
      </c>
      <c r="N607" s="3">
        <v>5</v>
      </c>
      <c r="O607" s="3">
        <v>0</v>
      </c>
      <c r="P607" s="3">
        <v>0</v>
      </c>
      <c r="Q607" s="3">
        <v>0</v>
      </c>
      <c r="R607" s="3">
        <v>0</v>
      </c>
      <c r="S607" s="2">
        <f t="shared" si="20"/>
        <v>79</v>
      </c>
      <c r="T607" s="4">
        <f t="shared" si="21"/>
        <v>1435.4810126582279</v>
      </c>
    </row>
    <row r="608" spans="1:20" hidden="1" x14ac:dyDescent="0.3">
      <c r="A608">
        <v>353870905000407</v>
      </c>
      <c r="B608" t="s">
        <v>217</v>
      </c>
      <c r="C608" t="s">
        <v>182</v>
      </c>
      <c r="D608">
        <v>1</v>
      </c>
      <c r="E608">
        <v>0</v>
      </c>
      <c r="F608" s="1">
        <v>274696</v>
      </c>
      <c r="G608" s="1">
        <v>274696</v>
      </c>
      <c r="H608" s="1">
        <v>0</v>
      </c>
      <c r="I608" s="3">
        <v>8</v>
      </c>
      <c r="J608" s="3">
        <v>9</v>
      </c>
      <c r="K608" s="3">
        <v>38</v>
      </c>
      <c r="L608" s="3">
        <v>77</v>
      </c>
      <c r="M608" s="3">
        <v>40</v>
      </c>
      <c r="N608" s="3">
        <v>10</v>
      </c>
      <c r="O608" s="3">
        <v>3</v>
      </c>
      <c r="P608" s="3">
        <v>0</v>
      </c>
      <c r="Q608" s="3">
        <v>0</v>
      </c>
      <c r="R608" s="3">
        <v>7</v>
      </c>
      <c r="S608" s="2">
        <f t="shared" si="20"/>
        <v>192</v>
      </c>
      <c r="T608" s="4">
        <f t="shared" si="21"/>
        <v>1430.7083333333333</v>
      </c>
    </row>
    <row r="609" spans="1:20" hidden="1" x14ac:dyDescent="0.3">
      <c r="A609">
        <v>353870905000396</v>
      </c>
      <c r="B609" t="s">
        <v>217</v>
      </c>
      <c r="C609" t="s">
        <v>108</v>
      </c>
      <c r="D609">
        <v>1</v>
      </c>
      <c r="E609">
        <v>0</v>
      </c>
      <c r="F609" s="1">
        <v>240522</v>
      </c>
      <c r="G609" s="1">
        <v>240522</v>
      </c>
      <c r="H609" s="1">
        <v>0</v>
      </c>
      <c r="I609" s="3">
        <v>4</v>
      </c>
      <c r="J609" s="3">
        <v>13</v>
      </c>
      <c r="K609" s="3">
        <v>46</v>
      </c>
      <c r="L609" s="3">
        <v>61</v>
      </c>
      <c r="M609" s="3">
        <v>36</v>
      </c>
      <c r="N609" s="3">
        <v>1</v>
      </c>
      <c r="O609" s="3">
        <v>0</v>
      </c>
      <c r="P609" s="3">
        <v>1</v>
      </c>
      <c r="Q609" s="3">
        <v>0</v>
      </c>
      <c r="R609" s="3">
        <v>8</v>
      </c>
      <c r="S609" s="2">
        <f t="shared" si="20"/>
        <v>170</v>
      </c>
      <c r="T609" s="4">
        <f t="shared" si="21"/>
        <v>1414.835294117647</v>
      </c>
    </row>
    <row r="610" spans="1:20" hidden="1" x14ac:dyDescent="0.3">
      <c r="A610">
        <v>353870935000059</v>
      </c>
      <c r="B610" t="s">
        <v>217</v>
      </c>
      <c r="C610" t="s">
        <v>155</v>
      </c>
      <c r="D610">
        <v>1</v>
      </c>
      <c r="E610">
        <v>0</v>
      </c>
      <c r="F610" s="1">
        <v>79693</v>
      </c>
      <c r="G610" s="1">
        <v>79693</v>
      </c>
      <c r="H610" s="1">
        <v>0</v>
      </c>
      <c r="I610" s="3">
        <v>2</v>
      </c>
      <c r="J610" s="3">
        <v>5</v>
      </c>
      <c r="K610" s="3">
        <v>15</v>
      </c>
      <c r="L610" s="3">
        <v>26</v>
      </c>
      <c r="M610" s="3">
        <v>7</v>
      </c>
      <c r="N610" s="3">
        <v>1</v>
      </c>
      <c r="O610" s="3">
        <v>0</v>
      </c>
      <c r="P610" s="3">
        <v>0</v>
      </c>
      <c r="Q610" s="3">
        <v>0</v>
      </c>
      <c r="R610" s="3">
        <v>1</v>
      </c>
      <c r="S610" s="2">
        <f t="shared" si="20"/>
        <v>57</v>
      </c>
      <c r="T610" s="4">
        <f t="shared" si="21"/>
        <v>1398.1228070175439</v>
      </c>
    </row>
    <row r="611" spans="1:20" hidden="1" x14ac:dyDescent="0.3">
      <c r="A611">
        <v>353870905000368</v>
      </c>
      <c r="B611" t="s">
        <v>217</v>
      </c>
      <c r="C611" t="s">
        <v>149</v>
      </c>
      <c r="D611">
        <v>1</v>
      </c>
      <c r="E611">
        <v>1</v>
      </c>
      <c r="F611" s="1">
        <v>382106</v>
      </c>
      <c r="G611" s="1">
        <v>381556</v>
      </c>
      <c r="H611" s="1">
        <v>550</v>
      </c>
      <c r="I611" s="3">
        <v>5</v>
      </c>
      <c r="J611" s="3">
        <v>27</v>
      </c>
      <c r="K611" s="3">
        <v>53</v>
      </c>
      <c r="L611" s="3">
        <v>111</v>
      </c>
      <c r="M611" s="3">
        <v>60</v>
      </c>
      <c r="N611" s="3">
        <v>9</v>
      </c>
      <c r="O611" s="3">
        <v>4</v>
      </c>
      <c r="P611" s="3">
        <v>1</v>
      </c>
      <c r="Q611" s="3">
        <v>0</v>
      </c>
      <c r="R611" s="3">
        <v>4</v>
      </c>
      <c r="S611" s="2">
        <f t="shared" si="20"/>
        <v>274</v>
      </c>
      <c r="T611" s="4">
        <f t="shared" si="21"/>
        <v>1394.5474452554745</v>
      </c>
    </row>
    <row r="612" spans="1:20" hidden="1" x14ac:dyDescent="0.3">
      <c r="A612">
        <v>353870935000043</v>
      </c>
      <c r="B612" t="s">
        <v>217</v>
      </c>
      <c r="C612" t="s">
        <v>170</v>
      </c>
      <c r="D612">
        <v>1</v>
      </c>
      <c r="E612">
        <v>0</v>
      </c>
      <c r="F612" s="1">
        <v>454767</v>
      </c>
      <c r="G612" s="1">
        <v>454767</v>
      </c>
      <c r="H612" s="1">
        <v>0</v>
      </c>
      <c r="I612" s="3">
        <v>14</v>
      </c>
      <c r="J612" s="3">
        <v>25</v>
      </c>
      <c r="K612" s="3">
        <v>68</v>
      </c>
      <c r="L612" s="3">
        <v>122</v>
      </c>
      <c r="M612" s="3">
        <v>82</v>
      </c>
      <c r="N612" s="3">
        <v>10</v>
      </c>
      <c r="O612" s="3">
        <v>2</v>
      </c>
      <c r="P612" s="3">
        <v>0</v>
      </c>
      <c r="Q612" s="3">
        <v>0</v>
      </c>
      <c r="R612" s="3">
        <v>5</v>
      </c>
      <c r="S612" s="2">
        <f t="shared" si="20"/>
        <v>328</v>
      </c>
      <c r="T612" s="4">
        <f t="shared" si="21"/>
        <v>1386.4847560975609</v>
      </c>
    </row>
    <row r="613" spans="1:20" hidden="1" x14ac:dyDescent="0.3">
      <c r="A613">
        <v>353870910000007</v>
      </c>
      <c r="B613" t="s">
        <v>217</v>
      </c>
      <c r="C613" t="s">
        <v>218</v>
      </c>
      <c r="D613">
        <v>8</v>
      </c>
      <c r="E613">
        <v>0</v>
      </c>
      <c r="F613" s="1">
        <v>29090</v>
      </c>
      <c r="G613" s="1">
        <v>29090</v>
      </c>
      <c r="H613" s="1">
        <v>0</v>
      </c>
      <c r="I613" s="3">
        <v>0</v>
      </c>
      <c r="J613" s="3">
        <v>0</v>
      </c>
      <c r="K613" s="3">
        <v>3</v>
      </c>
      <c r="L613" s="3">
        <v>12</v>
      </c>
      <c r="M613" s="3">
        <v>3</v>
      </c>
      <c r="N613" s="3">
        <v>1</v>
      </c>
      <c r="O613" s="3">
        <v>0</v>
      </c>
      <c r="P613" s="3">
        <v>1</v>
      </c>
      <c r="Q613" s="3">
        <v>0</v>
      </c>
      <c r="R613" s="3">
        <v>1</v>
      </c>
      <c r="S613" s="2">
        <f t="shared" si="20"/>
        <v>21</v>
      </c>
      <c r="T613" s="4">
        <f t="shared" si="21"/>
        <v>1385.2380952380952</v>
      </c>
    </row>
    <row r="614" spans="1:20" hidden="1" x14ac:dyDescent="0.3">
      <c r="A614">
        <v>353870935000083</v>
      </c>
      <c r="B614" t="s">
        <v>217</v>
      </c>
      <c r="C614" t="s">
        <v>218</v>
      </c>
      <c r="D614">
        <v>7</v>
      </c>
      <c r="E614">
        <v>0</v>
      </c>
      <c r="F614" s="1">
        <v>106141</v>
      </c>
      <c r="G614" s="1">
        <v>106141</v>
      </c>
      <c r="H614" s="1">
        <v>0</v>
      </c>
      <c r="I614" s="3">
        <v>1</v>
      </c>
      <c r="J614" s="3">
        <v>4</v>
      </c>
      <c r="K614" s="3">
        <v>16</v>
      </c>
      <c r="L614" s="3">
        <v>26</v>
      </c>
      <c r="M614" s="3">
        <v>22</v>
      </c>
      <c r="N614" s="3">
        <v>3</v>
      </c>
      <c r="O614" s="3">
        <v>2</v>
      </c>
      <c r="P614" s="3">
        <v>0</v>
      </c>
      <c r="Q614" s="3">
        <v>0</v>
      </c>
      <c r="R614" s="3">
        <v>3</v>
      </c>
      <c r="S614" s="2">
        <f t="shared" si="20"/>
        <v>77</v>
      </c>
      <c r="T614" s="4">
        <f t="shared" si="21"/>
        <v>1378.4545454545455</v>
      </c>
    </row>
    <row r="615" spans="1:20" hidden="1" x14ac:dyDescent="0.3">
      <c r="A615">
        <v>353870935000037</v>
      </c>
      <c r="B615" t="s">
        <v>217</v>
      </c>
      <c r="C615" t="s">
        <v>170</v>
      </c>
      <c r="D615">
        <v>1</v>
      </c>
      <c r="E615">
        <v>0</v>
      </c>
      <c r="F615" s="1">
        <v>224568</v>
      </c>
      <c r="G615" s="1">
        <v>224568</v>
      </c>
      <c r="H615" s="1">
        <v>0</v>
      </c>
      <c r="I615" s="3">
        <v>1</v>
      </c>
      <c r="J615" s="3">
        <v>5</v>
      </c>
      <c r="K615" s="3">
        <v>24</v>
      </c>
      <c r="L615" s="3">
        <v>62</v>
      </c>
      <c r="M615" s="3">
        <v>37</v>
      </c>
      <c r="N615" s="3">
        <v>5</v>
      </c>
      <c r="O615" s="3">
        <v>1</v>
      </c>
      <c r="P615" s="3">
        <v>1</v>
      </c>
      <c r="Q615" s="3">
        <v>0</v>
      </c>
      <c r="R615" s="3">
        <v>27</v>
      </c>
      <c r="S615" s="2">
        <f t="shared" si="20"/>
        <v>163</v>
      </c>
      <c r="T615" s="4">
        <f t="shared" si="21"/>
        <v>1377.717791411043</v>
      </c>
    </row>
    <row r="616" spans="1:20" hidden="1" x14ac:dyDescent="0.3">
      <c r="A616">
        <v>353870935000038</v>
      </c>
      <c r="B616" t="s">
        <v>217</v>
      </c>
      <c r="C616" t="s">
        <v>170</v>
      </c>
      <c r="D616">
        <v>1</v>
      </c>
      <c r="E616">
        <v>0</v>
      </c>
      <c r="F616" s="1">
        <v>235555</v>
      </c>
      <c r="G616" s="1">
        <v>235555</v>
      </c>
      <c r="H616" s="1">
        <v>0</v>
      </c>
      <c r="I616" s="3">
        <v>3</v>
      </c>
      <c r="J616" s="3">
        <v>11</v>
      </c>
      <c r="K616" s="3">
        <v>30</v>
      </c>
      <c r="L616" s="3">
        <v>53</v>
      </c>
      <c r="M616" s="3">
        <v>46</v>
      </c>
      <c r="N616" s="3">
        <v>6</v>
      </c>
      <c r="O616" s="3">
        <v>0</v>
      </c>
      <c r="P616" s="3">
        <v>0</v>
      </c>
      <c r="Q616" s="3">
        <v>0</v>
      </c>
      <c r="R616" s="3">
        <v>22</v>
      </c>
      <c r="S616" s="2">
        <f t="shared" si="20"/>
        <v>171</v>
      </c>
      <c r="T616" s="4">
        <f t="shared" si="21"/>
        <v>1377.514619883041</v>
      </c>
    </row>
    <row r="617" spans="1:20" hidden="1" x14ac:dyDescent="0.3">
      <c r="A617">
        <v>353870905000219</v>
      </c>
      <c r="B617" t="s">
        <v>217</v>
      </c>
      <c r="C617" t="s">
        <v>129</v>
      </c>
      <c r="D617">
        <v>1</v>
      </c>
      <c r="E617">
        <v>0</v>
      </c>
      <c r="F617" s="1">
        <v>54916</v>
      </c>
      <c r="G617" s="1">
        <v>54916</v>
      </c>
      <c r="H617" s="1">
        <v>0</v>
      </c>
      <c r="I617" s="3">
        <v>1</v>
      </c>
      <c r="J617" s="3">
        <v>4</v>
      </c>
      <c r="K617" s="3">
        <v>7</v>
      </c>
      <c r="L617" s="3">
        <v>15</v>
      </c>
      <c r="M617" s="3">
        <v>9</v>
      </c>
      <c r="N617" s="3">
        <v>2</v>
      </c>
      <c r="O617" s="3">
        <v>0</v>
      </c>
      <c r="P617" s="3">
        <v>0</v>
      </c>
      <c r="Q617" s="3">
        <v>0</v>
      </c>
      <c r="R617" s="3">
        <v>2</v>
      </c>
      <c r="S617" s="2">
        <f t="shared" si="20"/>
        <v>40</v>
      </c>
      <c r="T617" s="4">
        <f t="shared" si="21"/>
        <v>1372.9</v>
      </c>
    </row>
    <row r="618" spans="1:20" hidden="1" x14ac:dyDescent="0.3">
      <c r="A618">
        <v>353870905000268</v>
      </c>
      <c r="B618" t="s">
        <v>217</v>
      </c>
      <c r="C618" t="s">
        <v>173</v>
      </c>
      <c r="D618">
        <v>1</v>
      </c>
      <c r="E618">
        <v>0</v>
      </c>
      <c r="F618" s="1">
        <v>126962</v>
      </c>
      <c r="G618" s="1">
        <v>126962</v>
      </c>
      <c r="H618" s="1">
        <v>0</v>
      </c>
      <c r="I618" s="3">
        <v>0</v>
      </c>
      <c r="J618" s="3">
        <v>5</v>
      </c>
      <c r="K618" s="3">
        <v>23</v>
      </c>
      <c r="L618" s="3">
        <v>45</v>
      </c>
      <c r="M618" s="3">
        <v>15</v>
      </c>
      <c r="N618" s="3">
        <v>2</v>
      </c>
      <c r="O618" s="3">
        <v>2</v>
      </c>
      <c r="P618" s="3">
        <v>0</v>
      </c>
      <c r="Q618" s="3">
        <v>0</v>
      </c>
      <c r="R618" s="3">
        <v>1</v>
      </c>
      <c r="S618" s="2">
        <f t="shared" si="20"/>
        <v>93</v>
      </c>
      <c r="T618" s="4">
        <f t="shared" si="21"/>
        <v>1365.1827956989248</v>
      </c>
    </row>
    <row r="619" spans="1:20" hidden="1" x14ac:dyDescent="0.3">
      <c r="A619">
        <v>353870935000025</v>
      </c>
      <c r="B619" t="s">
        <v>217</v>
      </c>
      <c r="C619" t="s">
        <v>138</v>
      </c>
      <c r="D619">
        <v>2</v>
      </c>
      <c r="E619">
        <v>0</v>
      </c>
      <c r="F619" s="1">
        <v>32600</v>
      </c>
      <c r="G619" s="1">
        <v>32600</v>
      </c>
      <c r="H619" s="1">
        <v>0</v>
      </c>
      <c r="I619" s="3">
        <v>0</v>
      </c>
      <c r="J619" s="3">
        <v>0</v>
      </c>
      <c r="K619" s="3">
        <v>6</v>
      </c>
      <c r="L619" s="3">
        <v>11</v>
      </c>
      <c r="M619" s="3">
        <v>3</v>
      </c>
      <c r="N619" s="3">
        <v>2</v>
      </c>
      <c r="O619" s="3">
        <v>0</v>
      </c>
      <c r="P619" s="3">
        <v>0</v>
      </c>
      <c r="Q619" s="3">
        <v>0</v>
      </c>
      <c r="R619" s="3">
        <v>2</v>
      </c>
      <c r="S619" s="2">
        <f t="shared" si="20"/>
        <v>24</v>
      </c>
      <c r="T619" s="4">
        <f t="shared" si="21"/>
        <v>1358.3333333333333</v>
      </c>
    </row>
    <row r="620" spans="1:20" hidden="1" x14ac:dyDescent="0.3">
      <c r="A620">
        <v>353870915000001</v>
      </c>
      <c r="B620" t="s">
        <v>217</v>
      </c>
      <c r="C620" t="s">
        <v>218</v>
      </c>
      <c r="D620">
        <v>1</v>
      </c>
      <c r="E620">
        <v>0</v>
      </c>
      <c r="F620" s="1">
        <v>18840</v>
      </c>
      <c r="G620" s="1">
        <v>18840</v>
      </c>
      <c r="H620" s="1">
        <v>0</v>
      </c>
      <c r="I620" s="3">
        <v>0</v>
      </c>
      <c r="J620" s="3">
        <v>0</v>
      </c>
      <c r="K620" s="3">
        <v>5</v>
      </c>
      <c r="L620" s="3">
        <v>2</v>
      </c>
      <c r="M620" s="3">
        <v>4</v>
      </c>
      <c r="N620" s="3">
        <v>2</v>
      </c>
      <c r="O620" s="3">
        <v>0</v>
      </c>
      <c r="P620" s="3">
        <v>0</v>
      </c>
      <c r="Q620" s="3">
        <v>0</v>
      </c>
      <c r="R620" s="3">
        <v>1</v>
      </c>
      <c r="S620" s="2">
        <f t="shared" si="20"/>
        <v>14</v>
      </c>
      <c r="T620" s="4">
        <f t="shared" si="21"/>
        <v>1345.7142857142858</v>
      </c>
    </row>
    <row r="621" spans="1:20" hidden="1" x14ac:dyDescent="0.3">
      <c r="A621">
        <v>353870905000397</v>
      </c>
      <c r="B621" t="s">
        <v>217</v>
      </c>
      <c r="C621" t="s">
        <v>108</v>
      </c>
      <c r="D621">
        <v>1</v>
      </c>
      <c r="E621">
        <v>0</v>
      </c>
      <c r="F621" s="1">
        <v>270383</v>
      </c>
      <c r="G621" s="1">
        <v>270383</v>
      </c>
      <c r="H621" s="1">
        <v>0</v>
      </c>
      <c r="I621" s="3">
        <v>3</v>
      </c>
      <c r="J621" s="3">
        <v>18</v>
      </c>
      <c r="K621" s="3">
        <v>53</v>
      </c>
      <c r="L621" s="3">
        <v>78</v>
      </c>
      <c r="M621" s="3">
        <v>30</v>
      </c>
      <c r="N621" s="3">
        <v>8</v>
      </c>
      <c r="O621" s="3">
        <v>5</v>
      </c>
      <c r="P621" s="3">
        <v>0</v>
      </c>
      <c r="Q621" s="3">
        <v>0</v>
      </c>
      <c r="R621" s="3">
        <v>6</v>
      </c>
      <c r="S621" s="2">
        <f t="shared" si="20"/>
        <v>201</v>
      </c>
      <c r="T621" s="4">
        <f t="shared" si="21"/>
        <v>1345.1890547263681</v>
      </c>
    </row>
    <row r="622" spans="1:20" hidden="1" x14ac:dyDescent="0.3">
      <c r="A622">
        <v>353870905000506</v>
      </c>
      <c r="B622" t="s">
        <v>217</v>
      </c>
      <c r="C622" t="s">
        <v>185</v>
      </c>
      <c r="D622">
        <v>1</v>
      </c>
      <c r="E622">
        <v>0</v>
      </c>
      <c r="F622" s="1">
        <v>275224</v>
      </c>
      <c r="G622" s="1">
        <v>275224</v>
      </c>
      <c r="H622" s="1">
        <v>0</v>
      </c>
      <c r="I622" s="3">
        <v>3</v>
      </c>
      <c r="J622" s="3">
        <v>14</v>
      </c>
      <c r="K622" s="3">
        <v>51</v>
      </c>
      <c r="L622" s="3">
        <v>90</v>
      </c>
      <c r="M622" s="3">
        <v>44</v>
      </c>
      <c r="N622" s="3">
        <v>1</v>
      </c>
      <c r="O622" s="3">
        <v>0</v>
      </c>
      <c r="P622" s="3">
        <v>0</v>
      </c>
      <c r="Q622" s="3">
        <v>0</v>
      </c>
      <c r="R622" s="3">
        <v>2</v>
      </c>
      <c r="S622" s="2">
        <f t="shared" si="20"/>
        <v>205</v>
      </c>
      <c r="T622" s="4">
        <f t="shared" si="21"/>
        <v>1342.5560975609756</v>
      </c>
    </row>
    <row r="623" spans="1:20" hidden="1" x14ac:dyDescent="0.3">
      <c r="A623">
        <v>353870905000508</v>
      </c>
      <c r="B623" t="s">
        <v>217</v>
      </c>
      <c r="C623" t="s">
        <v>185</v>
      </c>
      <c r="D623">
        <v>1</v>
      </c>
      <c r="E623">
        <v>0</v>
      </c>
      <c r="F623" s="1">
        <v>306230</v>
      </c>
      <c r="G623" s="1">
        <v>306230</v>
      </c>
      <c r="H623" s="1">
        <v>0</v>
      </c>
      <c r="I623" s="3">
        <v>5</v>
      </c>
      <c r="J623" s="3">
        <v>24</v>
      </c>
      <c r="K623" s="3">
        <v>82</v>
      </c>
      <c r="L623" s="3">
        <v>69</v>
      </c>
      <c r="M623" s="3">
        <v>36</v>
      </c>
      <c r="N623" s="3">
        <v>8</v>
      </c>
      <c r="O623" s="3">
        <v>0</v>
      </c>
      <c r="P623" s="3">
        <v>0</v>
      </c>
      <c r="Q623" s="3">
        <v>0</v>
      </c>
      <c r="R623" s="3">
        <v>8</v>
      </c>
      <c r="S623" s="2">
        <f t="shared" si="20"/>
        <v>232</v>
      </c>
      <c r="T623" s="4">
        <f t="shared" si="21"/>
        <v>1319.9568965517242</v>
      </c>
    </row>
    <row r="624" spans="1:20" hidden="1" x14ac:dyDescent="0.3">
      <c r="A624">
        <v>353870915000006</v>
      </c>
      <c r="B624" t="s">
        <v>217</v>
      </c>
      <c r="C624" t="s">
        <v>218</v>
      </c>
      <c r="D624">
        <v>3</v>
      </c>
      <c r="E624">
        <v>0</v>
      </c>
      <c r="F624" s="1">
        <v>247598</v>
      </c>
      <c r="G624" s="1">
        <v>247598</v>
      </c>
      <c r="H624" s="1">
        <v>0</v>
      </c>
      <c r="I624" s="3">
        <v>3</v>
      </c>
      <c r="J624" s="3">
        <v>12</v>
      </c>
      <c r="K624" s="3">
        <v>48</v>
      </c>
      <c r="L624" s="3">
        <v>80</v>
      </c>
      <c r="M624" s="3">
        <v>37</v>
      </c>
      <c r="N624" s="3">
        <v>6</v>
      </c>
      <c r="O624" s="3">
        <v>0</v>
      </c>
      <c r="P624" s="3">
        <v>0</v>
      </c>
      <c r="Q624" s="3">
        <v>1</v>
      </c>
      <c r="R624" s="3">
        <v>1</v>
      </c>
      <c r="S624" s="2">
        <f t="shared" si="20"/>
        <v>188</v>
      </c>
      <c r="T624" s="4">
        <f t="shared" si="21"/>
        <v>1317.0106382978724</v>
      </c>
    </row>
    <row r="625" spans="1:20" hidden="1" x14ac:dyDescent="0.3">
      <c r="A625">
        <v>353870905000340</v>
      </c>
      <c r="B625" t="s">
        <v>217</v>
      </c>
      <c r="C625" t="s">
        <v>173</v>
      </c>
      <c r="D625">
        <v>1</v>
      </c>
      <c r="E625">
        <v>0</v>
      </c>
      <c r="F625" s="1">
        <v>346570</v>
      </c>
      <c r="G625" s="1">
        <v>346570</v>
      </c>
      <c r="H625" s="1">
        <v>0</v>
      </c>
      <c r="I625" s="3">
        <v>11</v>
      </c>
      <c r="J625" s="3">
        <v>30</v>
      </c>
      <c r="K625" s="3">
        <v>69</v>
      </c>
      <c r="L625" s="3">
        <v>102</v>
      </c>
      <c r="M625" s="3">
        <v>45</v>
      </c>
      <c r="N625" s="3">
        <v>4</v>
      </c>
      <c r="O625" s="3">
        <v>1</v>
      </c>
      <c r="P625" s="3">
        <v>0</v>
      </c>
      <c r="Q625" s="3">
        <v>0</v>
      </c>
      <c r="R625" s="3">
        <v>5</v>
      </c>
      <c r="S625" s="2">
        <f t="shared" si="20"/>
        <v>267</v>
      </c>
      <c r="T625" s="4">
        <f t="shared" si="21"/>
        <v>1298.0149812734082</v>
      </c>
    </row>
    <row r="626" spans="1:20" hidden="1" x14ac:dyDescent="0.3">
      <c r="A626">
        <v>353870905000365</v>
      </c>
      <c r="B626" t="s">
        <v>217</v>
      </c>
      <c r="C626" t="s">
        <v>182</v>
      </c>
      <c r="D626">
        <v>1</v>
      </c>
      <c r="E626">
        <v>0</v>
      </c>
      <c r="F626" s="1">
        <v>187962</v>
      </c>
      <c r="G626" s="1">
        <v>187962</v>
      </c>
      <c r="H626" s="1">
        <v>0</v>
      </c>
      <c r="I626" s="3">
        <v>3</v>
      </c>
      <c r="J626" s="3">
        <v>12</v>
      </c>
      <c r="K626" s="3">
        <v>36</v>
      </c>
      <c r="L626" s="3">
        <v>68</v>
      </c>
      <c r="M626" s="3">
        <v>22</v>
      </c>
      <c r="N626" s="3">
        <v>1</v>
      </c>
      <c r="O626" s="3">
        <v>2</v>
      </c>
      <c r="P626" s="3">
        <v>0</v>
      </c>
      <c r="Q626" s="3">
        <v>0</v>
      </c>
      <c r="R626" s="3">
        <v>1</v>
      </c>
      <c r="S626" s="2">
        <f t="shared" si="20"/>
        <v>145</v>
      </c>
      <c r="T626" s="4">
        <f t="shared" si="21"/>
        <v>1296.2896551724139</v>
      </c>
    </row>
    <row r="627" spans="1:20" hidden="1" x14ac:dyDescent="0.3">
      <c r="A627">
        <v>353870905000413</v>
      </c>
      <c r="B627" t="s">
        <v>217</v>
      </c>
      <c r="C627" t="s">
        <v>10</v>
      </c>
      <c r="D627">
        <v>2</v>
      </c>
      <c r="E627">
        <v>0</v>
      </c>
      <c r="F627" s="1">
        <v>7763</v>
      </c>
      <c r="G627" s="1">
        <v>7763</v>
      </c>
      <c r="H627" s="1">
        <v>0</v>
      </c>
      <c r="I627" s="3">
        <v>0</v>
      </c>
      <c r="J627" s="3">
        <v>1</v>
      </c>
      <c r="K627" s="3">
        <v>1</v>
      </c>
      <c r="L627" s="3">
        <v>2</v>
      </c>
      <c r="M627" s="3">
        <v>2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2">
        <f t="shared" si="20"/>
        <v>6</v>
      </c>
      <c r="T627" s="4">
        <f t="shared" si="21"/>
        <v>1293.8333333333333</v>
      </c>
    </row>
    <row r="628" spans="1:20" hidden="1" x14ac:dyDescent="0.3">
      <c r="A628">
        <v>353870905000586</v>
      </c>
      <c r="B628" t="s">
        <v>217</v>
      </c>
      <c r="C628" t="s">
        <v>182</v>
      </c>
      <c r="D628">
        <v>1</v>
      </c>
      <c r="E628">
        <v>0</v>
      </c>
      <c r="F628" s="1">
        <v>300689</v>
      </c>
      <c r="G628" s="1">
        <v>300689</v>
      </c>
      <c r="H628" s="1">
        <v>0</v>
      </c>
      <c r="I628" s="3">
        <v>7</v>
      </c>
      <c r="J628" s="3">
        <v>21</v>
      </c>
      <c r="K628" s="3">
        <v>47</v>
      </c>
      <c r="L628" s="3">
        <v>100</v>
      </c>
      <c r="M628" s="3">
        <v>47</v>
      </c>
      <c r="N628" s="3">
        <v>6</v>
      </c>
      <c r="O628" s="3">
        <v>0</v>
      </c>
      <c r="P628" s="3">
        <v>0</v>
      </c>
      <c r="Q628" s="3">
        <v>0</v>
      </c>
      <c r="R628" s="3">
        <v>5</v>
      </c>
      <c r="S628" s="2">
        <f t="shared" si="20"/>
        <v>233</v>
      </c>
      <c r="T628" s="4">
        <f t="shared" si="21"/>
        <v>1290.5107296137339</v>
      </c>
    </row>
    <row r="629" spans="1:20" hidden="1" x14ac:dyDescent="0.3">
      <c r="A629">
        <v>353870905000256</v>
      </c>
      <c r="B629" t="s">
        <v>217</v>
      </c>
      <c r="C629" t="s">
        <v>116</v>
      </c>
      <c r="D629">
        <v>1</v>
      </c>
      <c r="E629">
        <v>0</v>
      </c>
      <c r="F629" s="1">
        <v>295499</v>
      </c>
      <c r="G629" s="1">
        <v>295499</v>
      </c>
      <c r="H629" s="1">
        <v>0</v>
      </c>
      <c r="I629" s="3">
        <v>6</v>
      </c>
      <c r="J629" s="3">
        <v>27</v>
      </c>
      <c r="K629" s="3">
        <v>45</v>
      </c>
      <c r="L629" s="3">
        <v>86</v>
      </c>
      <c r="M629" s="3">
        <v>46</v>
      </c>
      <c r="N629" s="3">
        <v>9</v>
      </c>
      <c r="O629" s="3">
        <v>1</v>
      </c>
      <c r="P629" s="3">
        <v>0</v>
      </c>
      <c r="Q629" s="3">
        <v>0</v>
      </c>
      <c r="R629" s="3">
        <v>11</v>
      </c>
      <c r="S629" s="2">
        <f t="shared" si="20"/>
        <v>231</v>
      </c>
      <c r="T629" s="4">
        <f t="shared" si="21"/>
        <v>1279.2164502164503</v>
      </c>
    </row>
    <row r="630" spans="1:20" hidden="1" x14ac:dyDescent="0.3">
      <c r="A630">
        <v>353870935000036</v>
      </c>
      <c r="B630" t="s">
        <v>217</v>
      </c>
      <c r="C630" t="s">
        <v>170</v>
      </c>
      <c r="D630">
        <v>1</v>
      </c>
      <c r="E630">
        <v>0</v>
      </c>
      <c r="F630" s="1">
        <v>217129</v>
      </c>
      <c r="G630" s="1">
        <v>217129</v>
      </c>
      <c r="H630" s="1">
        <v>0</v>
      </c>
      <c r="I630" s="3">
        <v>1</v>
      </c>
      <c r="J630" s="3">
        <v>11</v>
      </c>
      <c r="K630" s="3">
        <v>39</v>
      </c>
      <c r="L630" s="3">
        <v>52</v>
      </c>
      <c r="M630" s="3">
        <v>33</v>
      </c>
      <c r="N630" s="3">
        <v>4</v>
      </c>
      <c r="O630" s="3">
        <v>1</v>
      </c>
      <c r="P630" s="3">
        <v>0</v>
      </c>
      <c r="Q630" s="3">
        <v>0</v>
      </c>
      <c r="R630" s="3">
        <v>29</v>
      </c>
      <c r="S630" s="2">
        <f t="shared" si="20"/>
        <v>170</v>
      </c>
      <c r="T630" s="4">
        <f t="shared" si="21"/>
        <v>1277.2294117647059</v>
      </c>
    </row>
    <row r="631" spans="1:20" hidden="1" x14ac:dyDescent="0.3">
      <c r="A631">
        <v>353870905000354</v>
      </c>
      <c r="B631" t="s">
        <v>217</v>
      </c>
      <c r="C631" t="s">
        <v>173</v>
      </c>
      <c r="D631">
        <v>1</v>
      </c>
      <c r="E631">
        <v>0</v>
      </c>
      <c r="F631" s="1">
        <v>181664</v>
      </c>
      <c r="G631" s="1">
        <v>181664</v>
      </c>
      <c r="H631" s="1">
        <v>0</v>
      </c>
      <c r="I631" s="3">
        <v>2</v>
      </c>
      <c r="J631" s="3">
        <v>18</v>
      </c>
      <c r="K631" s="3">
        <v>36</v>
      </c>
      <c r="L631" s="3">
        <v>51</v>
      </c>
      <c r="M631" s="3">
        <v>20</v>
      </c>
      <c r="N631" s="3">
        <v>5</v>
      </c>
      <c r="O631" s="3">
        <v>0</v>
      </c>
      <c r="P631" s="3">
        <v>2</v>
      </c>
      <c r="Q631" s="3">
        <v>0</v>
      </c>
      <c r="R631" s="3">
        <v>11</v>
      </c>
      <c r="S631" s="2">
        <f t="shared" si="20"/>
        <v>145</v>
      </c>
      <c r="T631" s="4">
        <f t="shared" si="21"/>
        <v>1252.8551724137931</v>
      </c>
    </row>
    <row r="632" spans="1:20" hidden="1" x14ac:dyDescent="0.3">
      <c r="A632">
        <v>353870905000209</v>
      </c>
      <c r="B632" t="s">
        <v>217</v>
      </c>
      <c r="C632" t="s">
        <v>167</v>
      </c>
      <c r="D632">
        <v>1</v>
      </c>
      <c r="E632">
        <v>0</v>
      </c>
      <c r="F632" s="1">
        <v>342409</v>
      </c>
      <c r="G632" s="1">
        <v>342409</v>
      </c>
      <c r="H632" s="1">
        <v>0</v>
      </c>
      <c r="I632" s="3">
        <v>0</v>
      </c>
      <c r="J632" s="3">
        <v>16</v>
      </c>
      <c r="K632" s="3">
        <v>68</v>
      </c>
      <c r="L632" s="3">
        <v>107</v>
      </c>
      <c r="M632" s="3">
        <v>60</v>
      </c>
      <c r="N632" s="3">
        <v>6</v>
      </c>
      <c r="O632" s="3">
        <v>0</v>
      </c>
      <c r="P632" s="3">
        <v>0</v>
      </c>
      <c r="Q632" s="3">
        <v>0</v>
      </c>
      <c r="R632" s="3">
        <v>19</v>
      </c>
      <c r="S632" s="2">
        <f t="shared" si="20"/>
        <v>276</v>
      </c>
      <c r="T632" s="4">
        <f t="shared" si="21"/>
        <v>1240.6123188405797</v>
      </c>
    </row>
    <row r="633" spans="1:20" hidden="1" x14ac:dyDescent="0.3">
      <c r="A633">
        <v>353870905000264</v>
      </c>
      <c r="B633" t="s">
        <v>217</v>
      </c>
      <c r="C633" t="s">
        <v>135</v>
      </c>
      <c r="D633">
        <v>1</v>
      </c>
      <c r="E633">
        <v>0</v>
      </c>
      <c r="F633" s="1">
        <v>99765</v>
      </c>
      <c r="G633" s="1">
        <v>99765</v>
      </c>
      <c r="H633" s="1">
        <v>0</v>
      </c>
      <c r="I633" s="3">
        <v>1</v>
      </c>
      <c r="J633" s="3">
        <v>8</v>
      </c>
      <c r="K633" s="3">
        <v>18</v>
      </c>
      <c r="L633" s="3">
        <v>29</v>
      </c>
      <c r="M633" s="3">
        <v>22</v>
      </c>
      <c r="N633" s="3">
        <v>2</v>
      </c>
      <c r="O633" s="3">
        <v>0</v>
      </c>
      <c r="P633" s="3">
        <v>0</v>
      </c>
      <c r="Q633" s="3">
        <v>0</v>
      </c>
      <c r="R633" s="3">
        <v>1</v>
      </c>
      <c r="S633" s="2">
        <f t="shared" si="20"/>
        <v>81</v>
      </c>
      <c r="T633" s="4">
        <f t="shared" si="21"/>
        <v>1231.6666666666667</v>
      </c>
    </row>
    <row r="634" spans="1:20" hidden="1" x14ac:dyDescent="0.3">
      <c r="A634">
        <v>353870935000040</v>
      </c>
      <c r="B634" t="s">
        <v>217</v>
      </c>
      <c r="C634" t="s">
        <v>170</v>
      </c>
      <c r="D634">
        <v>1</v>
      </c>
      <c r="E634">
        <v>0</v>
      </c>
      <c r="F634" s="1">
        <v>183416</v>
      </c>
      <c r="G634" s="1">
        <v>183416</v>
      </c>
      <c r="H634" s="1">
        <v>0</v>
      </c>
      <c r="I634" s="3">
        <v>0</v>
      </c>
      <c r="J634" s="3">
        <v>9</v>
      </c>
      <c r="K634" s="3">
        <v>39</v>
      </c>
      <c r="L634" s="3">
        <v>43</v>
      </c>
      <c r="M634" s="3">
        <v>31</v>
      </c>
      <c r="N634" s="3">
        <v>1</v>
      </c>
      <c r="O634" s="3">
        <v>0</v>
      </c>
      <c r="P634" s="3">
        <v>0</v>
      </c>
      <c r="Q634" s="3">
        <v>0</v>
      </c>
      <c r="R634" s="3">
        <v>27</v>
      </c>
      <c r="S634" s="2">
        <f t="shared" si="20"/>
        <v>150</v>
      </c>
      <c r="T634" s="4">
        <f t="shared" si="21"/>
        <v>1222.7733333333333</v>
      </c>
    </row>
    <row r="635" spans="1:20" hidden="1" x14ac:dyDescent="0.3">
      <c r="A635">
        <v>353870905000290</v>
      </c>
      <c r="B635" t="s">
        <v>217</v>
      </c>
      <c r="C635" t="s">
        <v>185</v>
      </c>
      <c r="D635">
        <v>1</v>
      </c>
      <c r="E635">
        <v>1</v>
      </c>
      <c r="F635" s="1">
        <v>219898</v>
      </c>
      <c r="G635" s="1">
        <v>219198</v>
      </c>
      <c r="H635" s="1">
        <v>700</v>
      </c>
      <c r="I635" s="3">
        <v>0</v>
      </c>
      <c r="J635" s="3">
        <v>7</v>
      </c>
      <c r="K635" s="3">
        <v>25</v>
      </c>
      <c r="L635" s="3">
        <v>62</v>
      </c>
      <c r="M635" s="3">
        <v>35</v>
      </c>
      <c r="N635" s="3">
        <v>4</v>
      </c>
      <c r="O635" s="3">
        <v>0</v>
      </c>
      <c r="P635" s="3">
        <v>0</v>
      </c>
      <c r="Q635" s="3">
        <v>0</v>
      </c>
      <c r="R635" s="3">
        <v>48</v>
      </c>
      <c r="S635" s="2">
        <f t="shared" si="20"/>
        <v>181</v>
      </c>
      <c r="T635" s="4">
        <f t="shared" si="21"/>
        <v>1214.9060773480662</v>
      </c>
    </row>
    <row r="636" spans="1:20" hidden="1" x14ac:dyDescent="0.3">
      <c r="A636">
        <v>353870905000565</v>
      </c>
      <c r="B636" t="s">
        <v>217</v>
      </c>
      <c r="C636" t="s">
        <v>221</v>
      </c>
      <c r="D636">
        <v>1</v>
      </c>
      <c r="E636">
        <v>0</v>
      </c>
      <c r="F636" s="1">
        <v>37226</v>
      </c>
      <c r="G636" s="1">
        <v>37226</v>
      </c>
      <c r="H636" s="1">
        <v>0</v>
      </c>
      <c r="I636" s="3">
        <v>0</v>
      </c>
      <c r="J636" s="3">
        <v>0</v>
      </c>
      <c r="K636" s="3">
        <v>8</v>
      </c>
      <c r="L636" s="3">
        <v>14</v>
      </c>
      <c r="M636" s="3">
        <v>7</v>
      </c>
      <c r="N636" s="3">
        <v>0</v>
      </c>
      <c r="O636" s="3">
        <v>0</v>
      </c>
      <c r="P636" s="3">
        <v>0</v>
      </c>
      <c r="Q636" s="3">
        <v>0</v>
      </c>
      <c r="R636" s="3">
        <v>2</v>
      </c>
      <c r="S636" s="2">
        <f t="shared" si="20"/>
        <v>31</v>
      </c>
      <c r="T636" s="4">
        <f t="shared" si="21"/>
        <v>1200.8387096774193</v>
      </c>
    </row>
    <row r="637" spans="1:20" hidden="1" x14ac:dyDescent="0.3">
      <c r="A637">
        <v>353870905000406</v>
      </c>
      <c r="B637" t="s">
        <v>217</v>
      </c>
      <c r="C637" t="s">
        <v>182</v>
      </c>
      <c r="D637">
        <v>1</v>
      </c>
      <c r="E637">
        <v>0</v>
      </c>
      <c r="F637" s="1">
        <v>169770</v>
      </c>
      <c r="G637" s="1">
        <v>169770</v>
      </c>
      <c r="H637" s="1">
        <v>0</v>
      </c>
      <c r="I637" s="3">
        <v>1</v>
      </c>
      <c r="J637" s="3">
        <v>17</v>
      </c>
      <c r="K637" s="3">
        <v>46</v>
      </c>
      <c r="L637" s="3">
        <v>52</v>
      </c>
      <c r="M637" s="3">
        <v>21</v>
      </c>
      <c r="N637" s="3">
        <v>0</v>
      </c>
      <c r="O637" s="3">
        <v>0</v>
      </c>
      <c r="P637" s="3">
        <v>0</v>
      </c>
      <c r="Q637" s="3">
        <v>0</v>
      </c>
      <c r="R637" s="3">
        <v>5</v>
      </c>
      <c r="S637" s="2">
        <f t="shared" si="20"/>
        <v>142</v>
      </c>
      <c r="T637" s="4">
        <f t="shared" si="21"/>
        <v>1195.5633802816901</v>
      </c>
    </row>
    <row r="638" spans="1:20" hidden="1" x14ac:dyDescent="0.3">
      <c r="A638">
        <v>353870915000005</v>
      </c>
      <c r="B638" t="s">
        <v>217</v>
      </c>
      <c r="C638" t="s">
        <v>218</v>
      </c>
      <c r="D638">
        <v>8</v>
      </c>
      <c r="E638">
        <v>0</v>
      </c>
      <c r="F638" s="1">
        <v>152485</v>
      </c>
      <c r="G638" s="1">
        <v>152485</v>
      </c>
      <c r="H638" s="1">
        <v>0</v>
      </c>
      <c r="I638" s="3">
        <v>0</v>
      </c>
      <c r="J638" s="3">
        <v>3</v>
      </c>
      <c r="K638" s="3">
        <v>20</v>
      </c>
      <c r="L638" s="3">
        <v>44</v>
      </c>
      <c r="M638" s="3">
        <v>32</v>
      </c>
      <c r="N638" s="3">
        <v>7</v>
      </c>
      <c r="O638" s="3">
        <v>1</v>
      </c>
      <c r="P638" s="3">
        <v>1</v>
      </c>
      <c r="Q638" s="3">
        <v>0</v>
      </c>
      <c r="R638" s="3">
        <v>20</v>
      </c>
      <c r="S638" s="2">
        <f t="shared" si="20"/>
        <v>128</v>
      </c>
      <c r="T638" s="4">
        <f t="shared" si="21"/>
        <v>1191.2890625</v>
      </c>
    </row>
    <row r="639" spans="1:20" hidden="1" x14ac:dyDescent="0.3">
      <c r="A639">
        <v>353870905000207</v>
      </c>
      <c r="B639" t="s">
        <v>217</v>
      </c>
      <c r="C639" t="s">
        <v>167</v>
      </c>
      <c r="D639">
        <v>1</v>
      </c>
      <c r="E639">
        <v>0</v>
      </c>
      <c r="F639" s="1">
        <v>94901</v>
      </c>
      <c r="G639" s="1">
        <v>94901</v>
      </c>
      <c r="H639" s="1">
        <v>0</v>
      </c>
      <c r="I639" s="3">
        <v>0</v>
      </c>
      <c r="J639" s="3">
        <v>4</v>
      </c>
      <c r="K639" s="3">
        <v>17</v>
      </c>
      <c r="L639" s="3">
        <v>37</v>
      </c>
      <c r="M639" s="3">
        <v>12</v>
      </c>
      <c r="N639" s="3">
        <v>1</v>
      </c>
      <c r="O639" s="3">
        <v>0</v>
      </c>
      <c r="P639" s="3">
        <v>0</v>
      </c>
      <c r="Q639" s="3">
        <v>0</v>
      </c>
      <c r="R639" s="3">
        <v>9</v>
      </c>
      <c r="S639" s="2">
        <f t="shared" si="20"/>
        <v>80</v>
      </c>
      <c r="T639" s="4">
        <f t="shared" si="21"/>
        <v>1186.2625</v>
      </c>
    </row>
    <row r="640" spans="1:20" hidden="1" x14ac:dyDescent="0.3">
      <c r="A640">
        <v>353870915000004</v>
      </c>
      <c r="B640" t="s">
        <v>217</v>
      </c>
      <c r="C640" t="s">
        <v>218</v>
      </c>
      <c r="D640">
        <v>8</v>
      </c>
      <c r="E640">
        <v>0</v>
      </c>
      <c r="F640" s="1">
        <v>164588</v>
      </c>
      <c r="G640" s="1">
        <v>164588</v>
      </c>
      <c r="H640" s="1">
        <v>0</v>
      </c>
      <c r="I640" s="3">
        <v>2</v>
      </c>
      <c r="J640" s="3">
        <v>8</v>
      </c>
      <c r="K640" s="3">
        <v>25</v>
      </c>
      <c r="L640" s="3">
        <v>53</v>
      </c>
      <c r="M640" s="3">
        <v>25</v>
      </c>
      <c r="N640" s="3">
        <v>3</v>
      </c>
      <c r="O640" s="3">
        <v>1</v>
      </c>
      <c r="P640" s="3">
        <v>1</v>
      </c>
      <c r="Q640" s="3">
        <v>0</v>
      </c>
      <c r="R640" s="3">
        <v>21</v>
      </c>
      <c r="S640" s="2">
        <f t="shared" si="20"/>
        <v>139</v>
      </c>
      <c r="T640" s="4">
        <f t="shared" si="21"/>
        <v>1184.0863309352519</v>
      </c>
    </row>
    <row r="641" spans="1:20" hidden="1" x14ac:dyDescent="0.3">
      <c r="A641">
        <v>353870905000507</v>
      </c>
      <c r="B641" t="s">
        <v>217</v>
      </c>
      <c r="C641" t="s">
        <v>185</v>
      </c>
      <c r="D641">
        <v>1</v>
      </c>
      <c r="E641">
        <v>0</v>
      </c>
      <c r="F641" s="1">
        <v>315692</v>
      </c>
      <c r="G641" s="1">
        <v>315692</v>
      </c>
      <c r="H641" s="1">
        <v>0</v>
      </c>
      <c r="I641" s="3">
        <v>12</v>
      </c>
      <c r="J641" s="3">
        <v>42</v>
      </c>
      <c r="K641" s="3">
        <v>84</v>
      </c>
      <c r="L641" s="3">
        <v>94</v>
      </c>
      <c r="M641" s="3">
        <v>26</v>
      </c>
      <c r="N641" s="3">
        <v>4</v>
      </c>
      <c r="O641" s="3">
        <v>0</v>
      </c>
      <c r="P641" s="3">
        <v>0</v>
      </c>
      <c r="Q641" s="3">
        <v>0</v>
      </c>
      <c r="R641" s="3">
        <v>5</v>
      </c>
      <c r="S641" s="2">
        <f t="shared" si="20"/>
        <v>267</v>
      </c>
      <c r="T641" s="4">
        <f t="shared" si="21"/>
        <v>1182.367041198502</v>
      </c>
    </row>
    <row r="642" spans="1:20" hidden="1" x14ac:dyDescent="0.3">
      <c r="A642">
        <v>353870905000211</v>
      </c>
      <c r="B642" t="s">
        <v>217</v>
      </c>
      <c r="C642" t="s">
        <v>167</v>
      </c>
      <c r="D642">
        <v>1</v>
      </c>
      <c r="E642">
        <v>0</v>
      </c>
      <c r="F642" s="1">
        <v>230825</v>
      </c>
      <c r="G642" s="1">
        <v>230825</v>
      </c>
      <c r="H642" s="1">
        <v>0</v>
      </c>
      <c r="I642" s="3">
        <v>1</v>
      </c>
      <c r="J642" s="3">
        <v>9</v>
      </c>
      <c r="K642" s="3">
        <v>52</v>
      </c>
      <c r="L642" s="3">
        <v>76</v>
      </c>
      <c r="M642" s="3">
        <v>34</v>
      </c>
      <c r="N642" s="3">
        <v>4</v>
      </c>
      <c r="O642" s="3">
        <v>1</v>
      </c>
      <c r="P642" s="3">
        <v>0</v>
      </c>
      <c r="Q642" s="3">
        <v>0</v>
      </c>
      <c r="R642" s="3">
        <v>19</v>
      </c>
      <c r="S642" s="2">
        <f t="shared" si="20"/>
        <v>196</v>
      </c>
      <c r="T642" s="4">
        <f t="shared" si="21"/>
        <v>1177.6785714285713</v>
      </c>
    </row>
    <row r="643" spans="1:20" hidden="1" x14ac:dyDescent="0.3">
      <c r="A643">
        <v>353870905000582</v>
      </c>
      <c r="B643" t="s">
        <v>217</v>
      </c>
      <c r="C643" t="s">
        <v>185</v>
      </c>
      <c r="D643">
        <v>1</v>
      </c>
      <c r="E643">
        <v>0</v>
      </c>
      <c r="F643" s="1">
        <v>305606</v>
      </c>
      <c r="G643" s="1">
        <v>305606</v>
      </c>
      <c r="H643" s="1">
        <v>0</v>
      </c>
      <c r="I643" s="3">
        <v>7</v>
      </c>
      <c r="J643" s="3">
        <v>27</v>
      </c>
      <c r="K643" s="3">
        <v>63</v>
      </c>
      <c r="L643" s="3">
        <v>88</v>
      </c>
      <c r="M643" s="3">
        <v>51</v>
      </c>
      <c r="N643" s="3">
        <v>7</v>
      </c>
      <c r="O643" s="3">
        <v>3</v>
      </c>
      <c r="P643" s="3">
        <v>0</v>
      </c>
      <c r="Q643" s="3">
        <v>0</v>
      </c>
      <c r="R643" s="3">
        <v>18</v>
      </c>
      <c r="S643" s="2">
        <f t="shared" ref="S643:S659" si="22">SUM(I643:R643)</f>
        <v>264</v>
      </c>
      <c r="T643" s="4">
        <f t="shared" ref="T643:T659" si="23">F643/S643</f>
        <v>1157.5984848484848</v>
      </c>
    </row>
    <row r="644" spans="1:20" hidden="1" x14ac:dyDescent="0.3">
      <c r="A644">
        <v>353870905000583</v>
      </c>
      <c r="B644" t="s">
        <v>217</v>
      </c>
      <c r="C644" t="s">
        <v>185</v>
      </c>
      <c r="D644">
        <v>1</v>
      </c>
      <c r="E644">
        <v>0</v>
      </c>
      <c r="F644" s="1">
        <v>147014</v>
      </c>
      <c r="G644" s="1">
        <v>147014</v>
      </c>
      <c r="H644" s="1">
        <v>0</v>
      </c>
      <c r="I644" s="3">
        <v>0</v>
      </c>
      <c r="J644" s="3">
        <v>18</v>
      </c>
      <c r="K644" s="3">
        <v>17</v>
      </c>
      <c r="L644" s="3">
        <v>58</v>
      </c>
      <c r="M644" s="3">
        <v>21</v>
      </c>
      <c r="N644" s="3">
        <v>4</v>
      </c>
      <c r="O644" s="3">
        <v>1</v>
      </c>
      <c r="P644" s="3">
        <v>0</v>
      </c>
      <c r="Q644" s="3">
        <v>0</v>
      </c>
      <c r="R644" s="3">
        <v>8</v>
      </c>
      <c r="S644" s="2">
        <f t="shared" si="22"/>
        <v>127</v>
      </c>
      <c r="T644" s="4">
        <f t="shared" si="23"/>
        <v>1157.5905511811025</v>
      </c>
    </row>
    <row r="645" spans="1:20" hidden="1" x14ac:dyDescent="0.3">
      <c r="A645">
        <v>353870905000509</v>
      </c>
      <c r="B645" t="s">
        <v>217</v>
      </c>
      <c r="C645" t="s">
        <v>185</v>
      </c>
      <c r="D645">
        <v>1</v>
      </c>
      <c r="E645">
        <v>0</v>
      </c>
      <c r="F645" s="1">
        <v>305472</v>
      </c>
      <c r="G645" s="1">
        <v>305472</v>
      </c>
      <c r="H645" s="1">
        <v>0</v>
      </c>
      <c r="I645" s="3">
        <v>15</v>
      </c>
      <c r="J645" s="3">
        <v>32</v>
      </c>
      <c r="K645" s="3">
        <v>82</v>
      </c>
      <c r="L645" s="3">
        <v>95</v>
      </c>
      <c r="M645" s="3">
        <v>39</v>
      </c>
      <c r="N645" s="3">
        <v>1</v>
      </c>
      <c r="O645" s="3">
        <v>0</v>
      </c>
      <c r="P645" s="3">
        <v>0</v>
      </c>
      <c r="Q645" s="3">
        <v>0</v>
      </c>
      <c r="R645" s="3">
        <v>3</v>
      </c>
      <c r="S645" s="2">
        <f t="shared" si="22"/>
        <v>267</v>
      </c>
      <c r="T645" s="4">
        <f t="shared" si="23"/>
        <v>1144.0898876404494</v>
      </c>
    </row>
    <row r="646" spans="1:20" hidden="1" x14ac:dyDescent="0.3">
      <c r="A646">
        <v>353870905000584</v>
      </c>
      <c r="B646" t="s">
        <v>217</v>
      </c>
      <c r="C646" t="s">
        <v>185</v>
      </c>
      <c r="D646">
        <v>1</v>
      </c>
      <c r="E646">
        <v>0</v>
      </c>
      <c r="F646" s="1">
        <v>194589</v>
      </c>
      <c r="G646" s="1">
        <v>194589</v>
      </c>
      <c r="H646" s="1">
        <v>0</v>
      </c>
      <c r="I646" s="3">
        <v>1</v>
      </c>
      <c r="J646" s="3">
        <v>13</v>
      </c>
      <c r="K646" s="3">
        <v>36</v>
      </c>
      <c r="L646" s="3">
        <v>66</v>
      </c>
      <c r="M646" s="3">
        <v>30</v>
      </c>
      <c r="N646" s="3">
        <v>5</v>
      </c>
      <c r="O646" s="3">
        <v>1</v>
      </c>
      <c r="P646" s="3">
        <v>0</v>
      </c>
      <c r="Q646" s="3">
        <v>0</v>
      </c>
      <c r="R646" s="3">
        <v>19</v>
      </c>
      <c r="S646" s="2">
        <f t="shared" si="22"/>
        <v>171</v>
      </c>
      <c r="T646" s="4">
        <f t="shared" si="23"/>
        <v>1137.9473684210527</v>
      </c>
    </row>
    <row r="647" spans="1:20" hidden="1" x14ac:dyDescent="0.3">
      <c r="A647">
        <v>353870905000585</v>
      </c>
      <c r="B647" t="s">
        <v>217</v>
      </c>
      <c r="C647" t="s">
        <v>125</v>
      </c>
      <c r="D647">
        <v>1</v>
      </c>
      <c r="E647">
        <v>0</v>
      </c>
      <c r="F647" s="1">
        <v>248098</v>
      </c>
      <c r="G647" s="1">
        <v>248098</v>
      </c>
      <c r="H647" s="1">
        <v>0</v>
      </c>
      <c r="I647" s="3">
        <v>0</v>
      </c>
      <c r="J647" s="3">
        <v>24</v>
      </c>
      <c r="K647" s="3">
        <v>71</v>
      </c>
      <c r="L647" s="3">
        <v>83</v>
      </c>
      <c r="M647" s="3">
        <v>29</v>
      </c>
      <c r="N647" s="3">
        <v>2</v>
      </c>
      <c r="O647" s="3">
        <v>3</v>
      </c>
      <c r="P647" s="3">
        <v>0</v>
      </c>
      <c r="Q647" s="3">
        <v>0</v>
      </c>
      <c r="R647" s="3">
        <v>14</v>
      </c>
      <c r="S647" s="2">
        <f t="shared" si="22"/>
        <v>226</v>
      </c>
      <c r="T647" s="4">
        <f t="shared" si="23"/>
        <v>1097.7787610619469</v>
      </c>
    </row>
    <row r="648" spans="1:20" hidden="1" x14ac:dyDescent="0.3">
      <c r="A648">
        <v>353870905000023</v>
      </c>
      <c r="B648" t="s">
        <v>217</v>
      </c>
      <c r="C648" t="s">
        <v>28</v>
      </c>
      <c r="D648">
        <v>1</v>
      </c>
      <c r="E648">
        <v>0</v>
      </c>
      <c r="F648" s="1">
        <v>6530</v>
      </c>
      <c r="G648" s="1">
        <v>6530</v>
      </c>
      <c r="H648" s="1">
        <v>0</v>
      </c>
      <c r="I648" s="3">
        <v>0</v>
      </c>
      <c r="J648" s="3">
        <v>0</v>
      </c>
      <c r="K648" s="3">
        <v>1</v>
      </c>
      <c r="L648" s="3">
        <v>2</v>
      </c>
      <c r="M648" s="3">
        <v>3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2">
        <f t="shared" si="22"/>
        <v>6</v>
      </c>
      <c r="T648" s="4">
        <f t="shared" si="23"/>
        <v>1088.3333333333333</v>
      </c>
    </row>
    <row r="649" spans="1:20" hidden="1" x14ac:dyDescent="0.3">
      <c r="A649">
        <v>353870905000262</v>
      </c>
      <c r="B649" t="s">
        <v>217</v>
      </c>
      <c r="C649" t="s">
        <v>173</v>
      </c>
      <c r="D649">
        <v>1</v>
      </c>
      <c r="E649">
        <v>0</v>
      </c>
      <c r="F649" s="1">
        <v>39411</v>
      </c>
      <c r="G649" s="1">
        <v>39411</v>
      </c>
      <c r="H649" s="1">
        <v>0</v>
      </c>
      <c r="I649" s="3">
        <v>1</v>
      </c>
      <c r="J649" s="3">
        <v>4</v>
      </c>
      <c r="K649" s="3">
        <v>11</v>
      </c>
      <c r="L649" s="3">
        <v>12</v>
      </c>
      <c r="M649" s="3">
        <v>7</v>
      </c>
      <c r="N649" s="3">
        <v>0</v>
      </c>
      <c r="O649" s="3">
        <v>0</v>
      </c>
      <c r="P649" s="3">
        <v>0</v>
      </c>
      <c r="Q649" s="3">
        <v>0</v>
      </c>
      <c r="R649" s="3">
        <v>2</v>
      </c>
      <c r="S649" s="2">
        <f t="shared" si="22"/>
        <v>37</v>
      </c>
      <c r="T649" s="4">
        <f t="shared" si="23"/>
        <v>1065.1621621621621</v>
      </c>
    </row>
    <row r="650" spans="1:20" hidden="1" x14ac:dyDescent="0.3">
      <c r="A650">
        <v>353870915000002</v>
      </c>
      <c r="B650" t="s">
        <v>217</v>
      </c>
      <c r="C650" t="s">
        <v>218</v>
      </c>
      <c r="D650">
        <v>3</v>
      </c>
      <c r="E650">
        <v>1</v>
      </c>
      <c r="F650" s="1">
        <v>145276</v>
      </c>
      <c r="G650" s="1">
        <v>144766</v>
      </c>
      <c r="H650" s="1">
        <v>510</v>
      </c>
      <c r="I650" s="3">
        <v>1</v>
      </c>
      <c r="J650" s="3">
        <v>7</v>
      </c>
      <c r="K650" s="3">
        <v>28</v>
      </c>
      <c r="L650" s="3">
        <v>39</v>
      </c>
      <c r="M650" s="3">
        <v>27</v>
      </c>
      <c r="N650" s="3">
        <v>3</v>
      </c>
      <c r="O650" s="3">
        <v>0</v>
      </c>
      <c r="P650" s="3">
        <v>1</v>
      </c>
      <c r="Q650" s="3">
        <v>0</v>
      </c>
      <c r="R650" s="3">
        <v>31</v>
      </c>
      <c r="S650" s="2">
        <f t="shared" si="22"/>
        <v>137</v>
      </c>
      <c r="T650" s="4">
        <f t="shared" si="23"/>
        <v>1060.4087591240875</v>
      </c>
    </row>
    <row r="651" spans="1:20" hidden="1" x14ac:dyDescent="0.3">
      <c r="A651">
        <v>353870915000007</v>
      </c>
      <c r="B651" t="s">
        <v>217</v>
      </c>
      <c r="C651" t="s">
        <v>218</v>
      </c>
      <c r="D651">
        <v>7</v>
      </c>
      <c r="E651">
        <v>0</v>
      </c>
      <c r="F651" s="1">
        <v>14350</v>
      </c>
      <c r="G651" s="1">
        <v>14350</v>
      </c>
      <c r="H651" s="1">
        <v>0</v>
      </c>
      <c r="I651" s="3">
        <v>0</v>
      </c>
      <c r="J651" s="3">
        <v>0</v>
      </c>
      <c r="K651" s="3">
        <v>4</v>
      </c>
      <c r="L651" s="3">
        <v>6</v>
      </c>
      <c r="M651" s="3">
        <v>1</v>
      </c>
      <c r="N651" s="3">
        <v>0</v>
      </c>
      <c r="O651" s="3">
        <v>1</v>
      </c>
      <c r="P651" s="3">
        <v>0</v>
      </c>
      <c r="Q651" s="3">
        <v>0</v>
      </c>
      <c r="R651" s="3">
        <v>2</v>
      </c>
      <c r="S651" s="2">
        <f t="shared" si="22"/>
        <v>14</v>
      </c>
      <c r="T651" s="4">
        <f t="shared" si="23"/>
        <v>1025</v>
      </c>
    </row>
    <row r="652" spans="1:20" hidden="1" x14ac:dyDescent="0.3">
      <c r="A652">
        <v>353870905000339</v>
      </c>
      <c r="B652" t="s">
        <v>217</v>
      </c>
      <c r="C652" t="s">
        <v>188</v>
      </c>
      <c r="D652">
        <v>1</v>
      </c>
      <c r="E652">
        <v>0</v>
      </c>
      <c r="F652" s="1">
        <v>266975</v>
      </c>
      <c r="G652" s="1">
        <v>266975</v>
      </c>
      <c r="H652" s="1">
        <v>0</v>
      </c>
      <c r="I652" s="3">
        <v>3</v>
      </c>
      <c r="J652" s="3">
        <v>40</v>
      </c>
      <c r="K652" s="3">
        <v>57</v>
      </c>
      <c r="L652" s="3">
        <v>82</v>
      </c>
      <c r="M652" s="3">
        <v>36</v>
      </c>
      <c r="N652" s="3">
        <v>5</v>
      </c>
      <c r="O652" s="3">
        <v>3</v>
      </c>
      <c r="P652" s="3">
        <v>0</v>
      </c>
      <c r="Q652" s="3">
        <v>0</v>
      </c>
      <c r="R652" s="3">
        <v>38</v>
      </c>
      <c r="S652" s="2">
        <f t="shared" si="22"/>
        <v>264</v>
      </c>
      <c r="T652" s="4">
        <f t="shared" si="23"/>
        <v>1011.2689393939394</v>
      </c>
    </row>
    <row r="653" spans="1:20" hidden="1" x14ac:dyDescent="0.3">
      <c r="A653">
        <v>353870905000579</v>
      </c>
      <c r="B653" t="s">
        <v>217</v>
      </c>
      <c r="C653" t="s">
        <v>188</v>
      </c>
      <c r="D653">
        <v>1</v>
      </c>
      <c r="E653">
        <v>0</v>
      </c>
      <c r="F653" s="1">
        <v>62618</v>
      </c>
      <c r="G653" s="1">
        <v>62618</v>
      </c>
      <c r="H653" s="1">
        <v>0</v>
      </c>
      <c r="I653" s="3">
        <v>2</v>
      </c>
      <c r="J653" s="3">
        <v>9</v>
      </c>
      <c r="K653" s="3">
        <v>20</v>
      </c>
      <c r="L653" s="3">
        <v>16</v>
      </c>
      <c r="M653" s="3">
        <v>12</v>
      </c>
      <c r="N653" s="3">
        <v>0</v>
      </c>
      <c r="O653" s="3">
        <v>0</v>
      </c>
      <c r="P653" s="3">
        <v>0</v>
      </c>
      <c r="Q653" s="3">
        <v>0</v>
      </c>
      <c r="R653" s="3">
        <v>3</v>
      </c>
      <c r="S653" s="2">
        <f t="shared" si="22"/>
        <v>62</v>
      </c>
      <c r="T653" s="4">
        <f t="shared" si="23"/>
        <v>1009.9677419354839</v>
      </c>
    </row>
    <row r="654" spans="1:20" hidden="1" x14ac:dyDescent="0.3">
      <c r="A654">
        <v>353870905000510</v>
      </c>
      <c r="B654" t="s">
        <v>217</v>
      </c>
      <c r="C654" t="s">
        <v>185</v>
      </c>
      <c r="D654">
        <v>1</v>
      </c>
      <c r="E654">
        <v>0</v>
      </c>
      <c r="F654" s="1">
        <v>241780</v>
      </c>
      <c r="G654" s="1">
        <v>241780</v>
      </c>
      <c r="H654" s="1">
        <v>0</v>
      </c>
      <c r="I654" s="3">
        <v>16</v>
      </c>
      <c r="J654" s="3">
        <v>43</v>
      </c>
      <c r="K654" s="3">
        <v>73</v>
      </c>
      <c r="L654" s="3">
        <v>71</v>
      </c>
      <c r="M654" s="3">
        <v>20</v>
      </c>
      <c r="N654" s="3">
        <v>2</v>
      </c>
      <c r="O654" s="3">
        <v>3</v>
      </c>
      <c r="P654" s="3">
        <v>0</v>
      </c>
      <c r="Q654" s="3">
        <v>0</v>
      </c>
      <c r="R654" s="3">
        <v>14</v>
      </c>
      <c r="S654" s="2">
        <f t="shared" si="22"/>
        <v>242</v>
      </c>
      <c r="T654" s="4">
        <f t="shared" si="23"/>
        <v>999.09090909090912</v>
      </c>
    </row>
    <row r="655" spans="1:20" hidden="1" x14ac:dyDescent="0.3">
      <c r="A655">
        <v>353870905000295</v>
      </c>
      <c r="B655" t="s">
        <v>217</v>
      </c>
      <c r="C655" t="s">
        <v>185</v>
      </c>
      <c r="D655">
        <v>1</v>
      </c>
      <c r="E655">
        <v>0</v>
      </c>
      <c r="F655" s="1">
        <v>186572</v>
      </c>
      <c r="G655" s="1">
        <v>186572</v>
      </c>
      <c r="H655" s="1">
        <v>0</v>
      </c>
      <c r="I655" s="3">
        <v>6</v>
      </c>
      <c r="J655" s="3">
        <v>10</v>
      </c>
      <c r="K655" s="3">
        <v>80</v>
      </c>
      <c r="L655" s="3">
        <v>58</v>
      </c>
      <c r="M655" s="3">
        <v>17</v>
      </c>
      <c r="N655" s="3">
        <v>0</v>
      </c>
      <c r="O655" s="3">
        <v>0</v>
      </c>
      <c r="P655" s="3">
        <v>0</v>
      </c>
      <c r="Q655" s="3">
        <v>0</v>
      </c>
      <c r="R655" s="3">
        <v>18</v>
      </c>
      <c r="S655" s="2">
        <f t="shared" si="22"/>
        <v>189</v>
      </c>
      <c r="T655" s="4">
        <f t="shared" si="23"/>
        <v>987.15343915343919</v>
      </c>
    </row>
    <row r="656" spans="1:20" hidden="1" x14ac:dyDescent="0.3">
      <c r="A656">
        <v>353870905000222</v>
      </c>
      <c r="B656" t="s">
        <v>217</v>
      </c>
      <c r="C656" t="s">
        <v>129</v>
      </c>
      <c r="D656">
        <v>1</v>
      </c>
      <c r="E656">
        <v>0</v>
      </c>
      <c r="F656" s="1">
        <v>53915</v>
      </c>
      <c r="G656" s="1">
        <v>53915</v>
      </c>
      <c r="H656" s="1">
        <v>0</v>
      </c>
      <c r="I656" s="3">
        <v>5</v>
      </c>
      <c r="J656" s="3">
        <v>10</v>
      </c>
      <c r="K656" s="3">
        <v>7</v>
      </c>
      <c r="L656" s="3">
        <v>14</v>
      </c>
      <c r="M656" s="3">
        <v>2</v>
      </c>
      <c r="N656" s="3">
        <v>0</v>
      </c>
      <c r="O656" s="3">
        <v>1</v>
      </c>
      <c r="P656" s="3">
        <v>0</v>
      </c>
      <c r="Q656" s="3">
        <v>0</v>
      </c>
      <c r="R656" s="3">
        <v>19</v>
      </c>
      <c r="S656" s="2">
        <f t="shared" si="22"/>
        <v>58</v>
      </c>
      <c r="T656" s="4">
        <f t="shared" si="23"/>
        <v>929.56896551724139</v>
      </c>
    </row>
    <row r="657" spans="1:20" hidden="1" x14ac:dyDescent="0.3">
      <c r="A657">
        <v>353870905000581</v>
      </c>
      <c r="B657" t="s">
        <v>217</v>
      </c>
      <c r="C657" t="s">
        <v>185</v>
      </c>
      <c r="D657">
        <v>1</v>
      </c>
      <c r="E657">
        <v>0</v>
      </c>
      <c r="F657" s="1">
        <v>235887</v>
      </c>
      <c r="G657" s="1">
        <v>235887</v>
      </c>
      <c r="H657" s="1">
        <v>0</v>
      </c>
      <c r="I657" s="3">
        <v>4</v>
      </c>
      <c r="J657" s="3">
        <v>19</v>
      </c>
      <c r="K657" s="3">
        <v>61</v>
      </c>
      <c r="L657" s="3">
        <v>69</v>
      </c>
      <c r="M657" s="3">
        <v>40</v>
      </c>
      <c r="N657" s="3">
        <v>2</v>
      </c>
      <c r="O657" s="3">
        <v>2</v>
      </c>
      <c r="P657" s="3">
        <v>1</v>
      </c>
      <c r="Q657" s="3">
        <v>0</v>
      </c>
      <c r="R657" s="3">
        <v>60</v>
      </c>
      <c r="S657" s="2">
        <f t="shared" si="22"/>
        <v>258</v>
      </c>
      <c r="T657" s="4">
        <f t="shared" si="23"/>
        <v>914.29069767441865</v>
      </c>
    </row>
    <row r="658" spans="1:20" hidden="1" x14ac:dyDescent="0.3">
      <c r="A658">
        <v>353870905000546</v>
      </c>
      <c r="B658" t="s">
        <v>217</v>
      </c>
      <c r="C658" t="s">
        <v>176</v>
      </c>
      <c r="D658">
        <v>1</v>
      </c>
      <c r="E658">
        <v>0</v>
      </c>
      <c r="F658" s="1">
        <v>166099</v>
      </c>
      <c r="G658" s="1">
        <v>166099</v>
      </c>
      <c r="H658" s="1">
        <v>0</v>
      </c>
      <c r="I658" s="3">
        <v>28</v>
      </c>
      <c r="J658" s="3">
        <v>68</v>
      </c>
      <c r="K658" s="3">
        <v>76</v>
      </c>
      <c r="L658" s="3">
        <v>40</v>
      </c>
      <c r="M658" s="3">
        <v>15</v>
      </c>
      <c r="N658" s="3">
        <v>4</v>
      </c>
      <c r="O658" s="3">
        <v>1</v>
      </c>
      <c r="P658" s="3">
        <v>0</v>
      </c>
      <c r="Q658" s="3">
        <v>0</v>
      </c>
      <c r="R658" s="3">
        <v>15</v>
      </c>
      <c r="S658" s="2">
        <f t="shared" si="22"/>
        <v>247</v>
      </c>
      <c r="T658" s="4">
        <f t="shared" si="23"/>
        <v>672.46558704453446</v>
      </c>
    </row>
    <row r="659" spans="1:20" hidden="1" x14ac:dyDescent="0.3">
      <c r="A659">
        <v>353870905000412</v>
      </c>
      <c r="B659" t="s">
        <v>217</v>
      </c>
      <c r="C659" t="s">
        <v>125</v>
      </c>
      <c r="D659">
        <v>2</v>
      </c>
      <c r="E659">
        <v>0</v>
      </c>
      <c r="F659" s="1">
        <v>3140</v>
      </c>
      <c r="G659" s="1">
        <v>3140</v>
      </c>
      <c r="H659" s="1">
        <v>0</v>
      </c>
      <c r="I659" s="3">
        <v>0</v>
      </c>
      <c r="J659" s="3">
        <v>2</v>
      </c>
      <c r="K659" s="3">
        <v>3</v>
      </c>
      <c r="L659" s="3">
        <v>0</v>
      </c>
      <c r="M659" s="3">
        <v>1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2">
        <f t="shared" si="22"/>
        <v>6</v>
      </c>
      <c r="T659" s="4">
        <f t="shared" si="23"/>
        <v>523.33333333333337</v>
      </c>
    </row>
  </sheetData>
  <autoFilter ref="A2:T659" xr:uid="{9B318193-1B4C-4FAF-9AC2-336015BCF24B}">
    <filterColumn colId="2">
      <filters>
        <filter val="Abaeté"/>
      </filters>
    </filterColumn>
    <sortState xmlns:xlrd2="http://schemas.microsoft.com/office/spreadsheetml/2017/richdata2" ref="A3:T659">
      <sortCondition descending="1" ref="T2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4FEF-5F01-4AAF-8C63-A5BB60C4D7F6}">
  <sheetPr filterMode="1"/>
  <dimension ref="A1:D64"/>
  <sheetViews>
    <sheetView workbookViewId="0">
      <selection activeCell="H76" sqref="H76"/>
    </sheetView>
  </sheetViews>
  <sheetFormatPr defaultRowHeight="14.4" x14ac:dyDescent="0.3"/>
  <sheetData>
    <row r="1" spans="1:4" x14ac:dyDescent="0.3">
      <c r="A1" t="s">
        <v>286</v>
      </c>
      <c r="B1" t="s">
        <v>283</v>
      </c>
      <c r="C1" t="s">
        <v>284</v>
      </c>
      <c r="D1" t="s">
        <v>285</v>
      </c>
    </row>
    <row r="2" spans="1:4" hidden="1" x14ac:dyDescent="0.3">
      <c r="A2" t="s">
        <v>13</v>
      </c>
      <c r="B2">
        <f>SUMIFS(Censo_2010!F:F,Censo_2010!C:C,'2010_consolidado'!A2)</f>
        <v>8515881</v>
      </c>
      <c r="C2">
        <f>SUMIFS(Censo_2010!S:S,Censo_2010!C:C,'2010_consolidado'!A2)</f>
        <v>910</v>
      </c>
      <c r="D2">
        <f>B2/C2</f>
        <v>9358.1109890109892</v>
      </c>
    </row>
    <row r="3" spans="1:4" hidden="1" x14ac:dyDescent="0.3">
      <c r="A3" t="s">
        <v>45</v>
      </c>
      <c r="B3">
        <f>SUMIFS(Censo_2010!F:F,Censo_2010!C:C,'2010_consolidado'!A3)</f>
        <v>15291293</v>
      </c>
      <c r="C3">
        <f>SUMIFS(Censo_2010!S:S,Censo_2010!C:C,'2010_consolidado'!A3)</f>
        <v>3655</v>
      </c>
      <c r="D3">
        <f t="shared" ref="D3:D64" si="0">B3/C3</f>
        <v>4183.6642954856361</v>
      </c>
    </row>
    <row r="4" spans="1:4" hidden="1" x14ac:dyDescent="0.3">
      <c r="A4" t="s">
        <v>68</v>
      </c>
      <c r="B4">
        <f>SUMIFS(Censo_2010!F:F,Censo_2010!C:C,'2010_consolidado'!A4)</f>
        <v>861211</v>
      </c>
      <c r="C4">
        <f>SUMIFS(Censo_2010!S:S,Censo_2010!C:C,'2010_consolidado'!A4)</f>
        <v>207</v>
      </c>
      <c r="D4">
        <f t="shared" si="0"/>
        <v>4160.4396135265697</v>
      </c>
    </row>
    <row r="5" spans="1:4" hidden="1" x14ac:dyDescent="0.3">
      <c r="A5" t="s">
        <v>28</v>
      </c>
      <c r="B5">
        <f>SUMIFS(Censo_2010!F:F,Censo_2010!C:C,'2010_consolidado'!A5)</f>
        <v>27627520</v>
      </c>
      <c r="C5">
        <f>SUMIFS(Censo_2010!S:S,Censo_2010!C:C,'2010_consolidado'!A5)</f>
        <v>5334</v>
      </c>
      <c r="D5">
        <f t="shared" si="0"/>
        <v>5179.5125609298839</v>
      </c>
    </row>
    <row r="6" spans="1:4" hidden="1" x14ac:dyDescent="0.3">
      <c r="A6" t="s">
        <v>22</v>
      </c>
      <c r="B6">
        <f>SUMIFS(Censo_2010!F:F,Censo_2010!C:C,'2010_consolidado'!A6)</f>
        <v>2182420</v>
      </c>
      <c r="C6">
        <f>SUMIFS(Censo_2010!S:S,Censo_2010!C:C,'2010_consolidado'!A6)</f>
        <v>274</v>
      </c>
      <c r="D6">
        <f t="shared" si="0"/>
        <v>7965.0364963503653</v>
      </c>
    </row>
    <row r="7" spans="1:4" hidden="1" x14ac:dyDescent="0.3">
      <c r="A7" t="s">
        <v>31</v>
      </c>
      <c r="B7">
        <f>SUMIFS(Censo_2010!F:F,Censo_2010!C:C,'2010_consolidado'!A7)</f>
        <v>13481680</v>
      </c>
      <c r="C7">
        <f>SUMIFS(Censo_2010!S:S,Censo_2010!C:C,'2010_consolidado'!A7)</f>
        <v>3045</v>
      </c>
      <c r="D7">
        <f t="shared" si="0"/>
        <v>4427.4811165845649</v>
      </c>
    </row>
    <row r="8" spans="1:4" hidden="1" x14ac:dyDescent="0.3">
      <c r="A8" t="s">
        <v>34</v>
      </c>
      <c r="B8">
        <f>SUMIFS(Censo_2010!F:F,Censo_2010!C:C,'2010_consolidado'!A8)</f>
        <v>7844852</v>
      </c>
      <c r="C8">
        <f>SUMIFS(Censo_2010!S:S,Censo_2010!C:C,'2010_consolidado'!A8)</f>
        <v>1480</v>
      </c>
      <c r="D8">
        <f t="shared" si="0"/>
        <v>5300.5756756756755</v>
      </c>
    </row>
    <row r="9" spans="1:4" hidden="1" x14ac:dyDescent="0.3">
      <c r="A9" t="s">
        <v>37</v>
      </c>
      <c r="B9">
        <f>SUMIFS(Censo_2010!F:F,Censo_2010!C:C,'2010_consolidado'!A9)</f>
        <v>2617838</v>
      </c>
      <c r="C9">
        <f>SUMIFS(Censo_2010!S:S,Censo_2010!C:C,'2010_consolidado'!A9)</f>
        <v>338</v>
      </c>
      <c r="D9">
        <f t="shared" si="0"/>
        <v>7745.082840236686</v>
      </c>
    </row>
    <row r="10" spans="1:4" hidden="1" x14ac:dyDescent="0.3">
      <c r="A10" t="s">
        <v>25</v>
      </c>
      <c r="B10">
        <f>SUMIFS(Censo_2010!F:F,Censo_2010!C:C,'2010_consolidado'!A10)</f>
        <v>13501685</v>
      </c>
      <c r="C10">
        <f>SUMIFS(Censo_2010!S:S,Censo_2010!C:C,'2010_consolidado'!A10)</f>
        <v>2045</v>
      </c>
      <c r="D10">
        <f t="shared" si="0"/>
        <v>6602.2909535452327</v>
      </c>
    </row>
    <row r="11" spans="1:4" hidden="1" x14ac:dyDescent="0.3">
      <c r="A11" t="s">
        <v>218</v>
      </c>
      <c r="B11">
        <f>SUMIFS(Censo_2010!F:F,Censo_2010!C:C,'2010_consolidado'!A11)</f>
        <v>13943664</v>
      </c>
      <c r="C11">
        <f>SUMIFS(Censo_2010!S:S,Censo_2010!C:C,'2010_consolidado'!A11)</f>
        <v>6290</v>
      </c>
      <c r="D11">
        <f t="shared" si="0"/>
        <v>2216.7987281399046</v>
      </c>
    </row>
    <row r="12" spans="1:4" hidden="1" x14ac:dyDescent="0.3">
      <c r="A12" t="s">
        <v>140</v>
      </c>
      <c r="B12">
        <f>SUMIFS(Censo_2010!F:F,Censo_2010!C:C,'2010_consolidado'!A12)</f>
        <v>11330945</v>
      </c>
      <c r="C12">
        <f>SUMIFS(Censo_2010!S:S,Censo_2010!C:C,'2010_consolidado'!A12)</f>
        <v>3298</v>
      </c>
      <c r="D12">
        <f t="shared" si="0"/>
        <v>3435.7019405700426</v>
      </c>
    </row>
    <row r="13" spans="1:4" hidden="1" x14ac:dyDescent="0.3">
      <c r="A13" t="s">
        <v>167</v>
      </c>
      <c r="B13">
        <f>SUMIFS(Censo_2010!F:F,Censo_2010!C:C,'2010_consolidado'!A13)</f>
        <v>10605318</v>
      </c>
      <c r="C13">
        <f>SUMIFS(Censo_2010!S:S,Censo_2010!C:C,'2010_consolidado'!A13)</f>
        <v>3420</v>
      </c>
      <c r="D13">
        <f t="shared" si="0"/>
        <v>3100.9701754385965</v>
      </c>
    </row>
    <row r="14" spans="1:4" hidden="1" x14ac:dyDescent="0.3">
      <c r="A14" t="s">
        <v>79</v>
      </c>
      <c r="B14">
        <f>SUMIFS(Censo_2010!F:F,Censo_2010!C:C,'2010_consolidado'!A14)</f>
        <v>9377886</v>
      </c>
      <c r="C14">
        <f>SUMIFS(Censo_2010!S:S,Censo_2010!C:C,'2010_consolidado'!A14)</f>
        <v>3005</v>
      </c>
      <c r="D14">
        <f t="shared" si="0"/>
        <v>3120.760732113145</v>
      </c>
    </row>
    <row r="15" spans="1:4" hidden="1" x14ac:dyDescent="0.3">
      <c r="A15" t="s">
        <v>48</v>
      </c>
      <c r="B15">
        <f>SUMIFS(Censo_2010!F:F,Censo_2010!C:C,'2010_consolidado'!A15)</f>
        <v>4392066</v>
      </c>
      <c r="C15">
        <f>SUMIFS(Censo_2010!S:S,Censo_2010!C:C,'2010_consolidado'!A15)</f>
        <v>896</v>
      </c>
      <c r="D15">
        <f t="shared" si="0"/>
        <v>4901.859375</v>
      </c>
    </row>
    <row r="16" spans="1:4" hidden="1" x14ac:dyDescent="0.3">
      <c r="A16" t="s">
        <v>62</v>
      </c>
      <c r="B16">
        <f>SUMIFS(Censo_2010!F:F,Censo_2010!C:C,'2010_consolidado'!A16)</f>
        <v>6209075</v>
      </c>
      <c r="C16">
        <f>SUMIFS(Censo_2010!S:S,Censo_2010!C:C,'2010_consolidado'!A16)</f>
        <v>1283</v>
      </c>
      <c r="D16">
        <f t="shared" si="0"/>
        <v>4839.4972720187061</v>
      </c>
    </row>
    <row r="17" spans="1:4" hidden="1" x14ac:dyDescent="0.3">
      <c r="A17" t="s">
        <v>185</v>
      </c>
      <c r="B17">
        <f>SUMIFS(Censo_2010!F:F,Censo_2010!C:C,'2010_consolidado'!A17)</f>
        <v>11367126</v>
      </c>
      <c r="C17">
        <f>SUMIFS(Censo_2010!S:S,Censo_2010!C:C,'2010_consolidado'!A17)</f>
        <v>5377</v>
      </c>
      <c r="D17">
        <f t="shared" si="0"/>
        <v>2114.0275246419938</v>
      </c>
    </row>
    <row r="18" spans="1:4" hidden="1" x14ac:dyDescent="0.3">
      <c r="A18" t="s">
        <v>65</v>
      </c>
      <c r="B18">
        <f>SUMIFS(Censo_2010!F:F,Censo_2010!C:C,'2010_consolidado'!A18)</f>
        <v>3338390</v>
      </c>
      <c r="C18">
        <f>SUMIFS(Censo_2010!S:S,Censo_2010!C:C,'2010_consolidado'!A18)</f>
        <v>1017</v>
      </c>
      <c r="D18">
        <f t="shared" si="0"/>
        <v>3282.5860373647984</v>
      </c>
    </row>
    <row r="19" spans="1:4" hidden="1" x14ac:dyDescent="0.3">
      <c r="A19" t="s">
        <v>71</v>
      </c>
      <c r="B19">
        <f>SUMIFS(Censo_2010!F:F,Censo_2010!C:C,'2010_consolidado'!A19)</f>
        <v>8764595</v>
      </c>
      <c r="C19">
        <f>SUMIFS(Censo_2010!S:S,Censo_2010!C:C,'2010_consolidado'!A19)</f>
        <v>2187</v>
      </c>
      <c r="D19">
        <f t="shared" si="0"/>
        <v>4007.5880201188843</v>
      </c>
    </row>
    <row r="20" spans="1:4" hidden="1" x14ac:dyDescent="0.3">
      <c r="A20" t="s">
        <v>51</v>
      </c>
      <c r="B20">
        <f>SUMIFS(Censo_2010!F:F,Censo_2010!C:C,'2010_consolidado'!A20)</f>
        <v>6016606</v>
      </c>
      <c r="C20">
        <f>SUMIFS(Censo_2010!S:S,Censo_2010!C:C,'2010_consolidado'!A20)</f>
        <v>1528</v>
      </c>
      <c r="D20">
        <f t="shared" si="0"/>
        <v>3937.5693717277486</v>
      </c>
    </row>
    <row r="21" spans="1:4" x14ac:dyDescent="0.3">
      <c r="A21" t="s">
        <v>43</v>
      </c>
      <c r="B21">
        <f>SUMIFS(Censo_2010!F:F,Censo_2010!C:C,'2010_consolidado'!A21)</f>
        <v>1100066</v>
      </c>
      <c r="C21">
        <f>SUMIFS(Censo_2010!S:S,Censo_2010!C:C,'2010_consolidado'!A21)</f>
        <v>193</v>
      </c>
      <c r="D21">
        <f t="shared" si="0"/>
        <v>5699.8238341968909</v>
      </c>
    </row>
    <row r="22" spans="1:4" hidden="1" x14ac:dyDescent="0.3">
      <c r="A22" t="s">
        <v>132</v>
      </c>
      <c r="B22">
        <f>SUMIFS(Censo_2010!F:F,Censo_2010!C:C,'2010_consolidado'!A22)</f>
        <v>1646367</v>
      </c>
      <c r="C22">
        <f>SUMIFS(Censo_2010!S:S,Censo_2010!C:C,'2010_consolidado'!A22)</f>
        <v>722</v>
      </c>
      <c r="D22">
        <f t="shared" si="0"/>
        <v>2280.286703601108</v>
      </c>
    </row>
    <row r="23" spans="1:4" hidden="1" x14ac:dyDescent="0.3">
      <c r="A23" t="s">
        <v>16</v>
      </c>
      <c r="B23">
        <f>SUMIFS(Censo_2010!F:F,Censo_2010!C:C,'2010_consolidado'!A23)</f>
        <v>708474</v>
      </c>
      <c r="C23">
        <f>SUMIFS(Censo_2010!S:S,Censo_2010!C:C,'2010_consolidado'!A23)</f>
        <v>129</v>
      </c>
      <c r="D23">
        <f t="shared" si="0"/>
        <v>5492.0465116279074</v>
      </c>
    </row>
    <row r="24" spans="1:4" hidden="1" x14ac:dyDescent="0.3">
      <c r="A24" t="s">
        <v>125</v>
      </c>
      <c r="B24">
        <f>SUMIFS(Censo_2010!F:F,Censo_2010!C:C,'2010_consolidado'!A24)</f>
        <v>2783228</v>
      </c>
      <c r="C24">
        <f>SUMIFS(Censo_2010!S:S,Censo_2010!C:C,'2010_consolidado'!A24)</f>
        <v>1089</v>
      </c>
      <c r="D24">
        <f t="shared" si="0"/>
        <v>2555.7649219467403</v>
      </c>
    </row>
    <row r="25" spans="1:4" hidden="1" x14ac:dyDescent="0.3">
      <c r="A25" t="s">
        <v>82</v>
      </c>
      <c r="B25">
        <f>SUMIFS(Censo_2010!F:F,Censo_2010!C:C,'2010_consolidado'!A25)</f>
        <v>5418446</v>
      </c>
      <c r="C25">
        <f>SUMIFS(Censo_2010!S:S,Censo_2010!C:C,'2010_consolidado'!A25)</f>
        <v>1439</v>
      </c>
      <c r="D25">
        <f t="shared" si="0"/>
        <v>3765.4246004169563</v>
      </c>
    </row>
    <row r="26" spans="1:4" hidden="1" x14ac:dyDescent="0.3">
      <c r="A26" t="s">
        <v>54</v>
      </c>
      <c r="B26">
        <f>SUMIFS(Censo_2010!F:F,Censo_2010!C:C,'2010_consolidado'!A26)</f>
        <v>5659100</v>
      </c>
      <c r="C26">
        <f>SUMIFS(Censo_2010!S:S,Censo_2010!C:C,'2010_consolidado'!A26)</f>
        <v>1630</v>
      </c>
      <c r="D26">
        <f t="shared" si="0"/>
        <v>3471.840490797546</v>
      </c>
    </row>
    <row r="27" spans="1:4" hidden="1" x14ac:dyDescent="0.3">
      <c r="A27" t="s">
        <v>135</v>
      </c>
      <c r="B27">
        <f>SUMIFS(Censo_2010!F:F,Censo_2010!C:C,'2010_consolidado'!A27)</f>
        <v>7213863</v>
      </c>
      <c r="C27">
        <f>SUMIFS(Censo_2010!S:S,Censo_2010!C:C,'2010_consolidado'!A27)</f>
        <v>3006</v>
      </c>
      <c r="D27">
        <f t="shared" si="0"/>
        <v>2399.8213572854293</v>
      </c>
    </row>
    <row r="28" spans="1:4" hidden="1" x14ac:dyDescent="0.3">
      <c r="A28" t="s">
        <v>220</v>
      </c>
      <c r="B28">
        <f>SUMIFS(Censo_2010!F:F,Censo_2010!C:C,'2010_consolidado'!A28)</f>
        <v>6218800</v>
      </c>
      <c r="C28">
        <f>SUMIFS(Censo_2010!S:S,Censo_2010!C:C,'2010_consolidado'!A28)</f>
        <v>2050</v>
      </c>
      <c r="D28">
        <f t="shared" si="0"/>
        <v>3033.560975609756</v>
      </c>
    </row>
    <row r="29" spans="1:4" hidden="1" x14ac:dyDescent="0.3">
      <c r="A29" t="s">
        <v>145</v>
      </c>
      <c r="B29">
        <f>SUMIFS(Censo_2010!F:F,Censo_2010!C:C,'2010_consolidado'!A29)</f>
        <v>3856109</v>
      </c>
      <c r="C29">
        <f>SUMIFS(Censo_2010!S:S,Censo_2010!C:C,'2010_consolidado'!A29)</f>
        <v>1691</v>
      </c>
      <c r="D29">
        <f t="shared" si="0"/>
        <v>2280.3719692489649</v>
      </c>
    </row>
    <row r="30" spans="1:4" hidden="1" x14ac:dyDescent="0.3">
      <c r="A30" t="s">
        <v>114</v>
      </c>
      <c r="B30">
        <f>SUMIFS(Censo_2010!F:F,Censo_2010!C:C,'2010_consolidado'!A30)</f>
        <v>5575800</v>
      </c>
      <c r="C30">
        <f>SUMIFS(Censo_2010!S:S,Censo_2010!C:C,'2010_consolidado'!A30)</f>
        <v>1937</v>
      </c>
      <c r="D30">
        <f t="shared" si="0"/>
        <v>2878.5751161590088</v>
      </c>
    </row>
    <row r="31" spans="1:4" hidden="1" x14ac:dyDescent="0.3">
      <c r="A31" t="s">
        <v>77</v>
      </c>
      <c r="B31">
        <f>SUMIFS(Censo_2010!F:F,Censo_2010!C:C,'2010_consolidado'!A31)</f>
        <v>3217288</v>
      </c>
      <c r="C31">
        <f>SUMIFS(Censo_2010!S:S,Censo_2010!C:C,'2010_consolidado'!A31)</f>
        <v>1148</v>
      </c>
      <c r="D31">
        <f t="shared" si="0"/>
        <v>2802.5156794425088</v>
      </c>
    </row>
    <row r="32" spans="1:4" hidden="1" x14ac:dyDescent="0.3">
      <c r="A32" t="s">
        <v>96</v>
      </c>
      <c r="B32">
        <f>SUMIFS(Censo_2010!F:F,Censo_2010!C:C,'2010_consolidado'!A32)</f>
        <v>1182565</v>
      </c>
      <c r="C32">
        <f>SUMIFS(Censo_2010!S:S,Censo_2010!C:C,'2010_consolidado'!A32)</f>
        <v>359</v>
      </c>
      <c r="D32">
        <f t="shared" si="0"/>
        <v>3294.0529247910863</v>
      </c>
    </row>
    <row r="33" spans="1:4" hidden="1" x14ac:dyDescent="0.3">
      <c r="A33" t="s">
        <v>119</v>
      </c>
      <c r="B33">
        <f>SUMIFS(Censo_2010!F:F,Censo_2010!C:C,'2010_consolidado'!A33)</f>
        <v>5846237</v>
      </c>
      <c r="C33">
        <f>SUMIFS(Censo_2010!S:S,Censo_2010!C:C,'2010_consolidado'!A33)</f>
        <v>2363</v>
      </c>
      <c r="D33">
        <f t="shared" si="0"/>
        <v>2474.0740584003383</v>
      </c>
    </row>
    <row r="34" spans="1:4" hidden="1" x14ac:dyDescent="0.3">
      <c r="A34" t="s">
        <v>108</v>
      </c>
      <c r="B34">
        <f>SUMIFS(Censo_2010!F:F,Censo_2010!C:C,'2010_consolidado'!A34)</f>
        <v>15505112</v>
      </c>
      <c r="C34">
        <f>SUMIFS(Censo_2010!S:S,Censo_2010!C:C,'2010_consolidado'!A34)</f>
        <v>6226</v>
      </c>
      <c r="D34">
        <f t="shared" si="0"/>
        <v>2490.3809829746224</v>
      </c>
    </row>
    <row r="35" spans="1:4" hidden="1" x14ac:dyDescent="0.3">
      <c r="A35" t="s">
        <v>10</v>
      </c>
      <c r="B35">
        <f>SUMIFS(Censo_2010!F:F,Censo_2010!C:C,'2010_consolidado'!A35)</f>
        <v>67103</v>
      </c>
      <c r="C35">
        <f>SUMIFS(Censo_2010!S:S,Censo_2010!C:C,'2010_consolidado'!A35)</f>
        <v>21</v>
      </c>
      <c r="D35">
        <f t="shared" si="0"/>
        <v>3195.3809523809523</v>
      </c>
    </row>
    <row r="36" spans="1:4" hidden="1" x14ac:dyDescent="0.3">
      <c r="A36" t="s">
        <v>149</v>
      </c>
      <c r="B36">
        <f>SUMIFS(Censo_2010!F:F,Censo_2010!C:C,'2010_consolidado'!A36)</f>
        <v>2755607</v>
      </c>
      <c r="C36">
        <f>SUMIFS(Censo_2010!S:S,Censo_2010!C:C,'2010_consolidado'!A36)</f>
        <v>1536</v>
      </c>
      <c r="D36">
        <f t="shared" si="0"/>
        <v>1794.0149739583333</v>
      </c>
    </row>
    <row r="37" spans="1:4" hidden="1" x14ac:dyDescent="0.3">
      <c r="A37" t="s">
        <v>219</v>
      </c>
      <c r="B37">
        <f>SUMIFS(Censo_2010!F:F,Censo_2010!C:C,'2010_consolidado'!A37)</f>
        <v>2453854</v>
      </c>
      <c r="C37">
        <f>SUMIFS(Censo_2010!S:S,Censo_2010!C:C,'2010_consolidado'!A37)</f>
        <v>720</v>
      </c>
      <c r="D37">
        <f t="shared" si="0"/>
        <v>3408.1305555555555</v>
      </c>
    </row>
    <row r="38" spans="1:4" hidden="1" x14ac:dyDescent="0.3">
      <c r="A38" t="s">
        <v>127</v>
      </c>
      <c r="B38">
        <f>SUMIFS(Censo_2010!F:F,Censo_2010!C:C,'2010_consolidado'!A38)</f>
        <v>4819302</v>
      </c>
      <c r="C38">
        <f>SUMIFS(Censo_2010!S:S,Censo_2010!C:C,'2010_consolidado'!A38)</f>
        <v>1939</v>
      </c>
      <c r="D38">
        <f t="shared" si="0"/>
        <v>2485.4574522949974</v>
      </c>
    </row>
    <row r="39" spans="1:4" hidden="1" x14ac:dyDescent="0.3">
      <c r="A39" t="s">
        <v>222</v>
      </c>
      <c r="B39">
        <f>SUMIFS(Censo_2010!F:F,Censo_2010!C:C,'2010_consolidado'!A39)</f>
        <v>43820</v>
      </c>
      <c r="C39">
        <f>SUMIFS(Censo_2010!S:S,Censo_2010!C:C,'2010_consolidado'!A39)</f>
        <v>13</v>
      </c>
      <c r="D39">
        <f t="shared" si="0"/>
        <v>3370.7692307692309</v>
      </c>
    </row>
    <row r="40" spans="1:4" hidden="1" x14ac:dyDescent="0.3">
      <c r="A40" t="s">
        <v>74</v>
      </c>
      <c r="B40">
        <f>SUMIFS(Censo_2010!F:F,Censo_2010!C:C,'2010_consolidado'!A40)</f>
        <v>1252443</v>
      </c>
      <c r="C40">
        <f>SUMIFS(Censo_2010!S:S,Censo_2010!C:C,'2010_consolidado'!A40)</f>
        <v>404</v>
      </c>
      <c r="D40">
        <f t="shared" si="0"/>
        <v>3100.1064356435645</v>
      </c>
    </row>
    <row r="41" spans="1:4" hidden="1" x14ac:dyDescent="0.3">
      <c r="A41" t="s">
        <v>142</v>
      </c>
      <c r="B41">
        <f>SUMIFS(Censo_2010!F:F,Censo_2010!C:C,'2010_consolidado'!A41)</f>
        <v>246839</v>
      </c>
      <c r="C41">
        <f>SUMIFS(Censo_2010!S:S,Censo_2010!C:C,'2010_consolidado'!A41)</f>
        <v>116</v>
      </c>
      <c r="D41">
        <f t="shared" si="0"/>
        <v>2127.9224137931033</v>
      </c>
    </row>
    <row r="42" spans="1:4" hidden="1" x14ac:dyDescent="0.3">
      <c r="A42" t="s">
        <v>155</v>
      </c>
      <c r="B42">
        <f>SUMIFS(Censo_2010!F:F,Censo_2010!C:C,'2010_consolidado'!A42)</f>
        <v>8048345</v>
      </c>
      <c r="C42">
        <f>SUMIFS(Censo_2010!S:S,Censo_2010!C:C,'2010_consolidado'!A42)</f>
        <v>3717</v>
      </c>
      <c r="D42">
        <f t="shared" si="0"/>
        <v>2165.2797955340329</v>
      </c>
    </row>
    <row r="43" spans="1:4" hidden="1" x14ac:dyDescent="0.3">
      <c r="A43" t="s">
        <v>116</v>
      </c>
      <c r="B43">
        <f>SUMIFS(Censo_2010!F:F,Censo_2010!C:C,'2010_consolidado'!A43)</f>
        <v>8755566</v>
      </c>
      <c r="C43">
        <f>SUMIFS(Censo_2010!S:S,Censo_2010!C:C,'2010_consolidado'!A43)</f>
        <v>3766</v>
      </c>
      <c r="D43">
        <f t="shared" si="0"/>
        <v>2324.8980350504512</v>
      </c>
    </row>
    <row r="44" spans="1:4" hidden="1" x14ac:dyDescent="0.3">
      <c r="A44" t="s">
        <v>102</v>
      </c>
      <c r="B44">
        <f>SUMIFS(Censo_2010!F:F,Censo_2010!C:C,'2010_consolidado'!A44)</f>
        <v>3440398</v>
      </c>
      <c r="C44">
        <f>SUMIFS(Censo_2010!S:S,Censo_2010!C:C,'2010_consolidado'!A44)</f>
        <v>1379</v>
      </c>
      <c r="D44">
        <f t="shared" si="0"/>
        <v>2494.8498912255259</v>
      </c>
    </row>
    <row r="45" spans="1:4" hidden="1" x14ac:dyDescent="0.3">
      <c r="A45" t="s">
        <v>105</v>
      </c>
      <c r="B45">
        <f>SUMIFS(Censo_2010!F:F,Censo_2010!C:C,'2010_consolidado'!A45)</f>
        <v>699995</v>
      </c>
      <c r="C45">
        <f>SUMIFS(Censo_2010!S:S,Censo_2010!C:C,'2010_consolidado'!A45)</f>
        <v>243</v>
      </c>
      <c r="D45">
        <f t="shared" si="0"/>
        <v>2880.6378600823045</v>
      </c>
    </row>
    <row r="46" spans="1:4" hidden="1" x14ac:dyDescent="0.3">
      <c r="A46" t="s">
        <v>157</v>
      </c>
      <c r="B46">
        <f>SUMIFS(Censo_2010!F:F,Censo_2010!C:C,'2010_consolidado'!A46)</f>
        <v>1447983</v>
      </c>
      <c r="C46">
        <f>SUMIFS(Censo_2010!S:S,Censo_2010!C:C,'2010_consolidado'!A46)</f>
        <v>568</v>
      </c>
      <c r="D46">
        <f t="shared" si="0"/>
        <v>2549.2658450704225</v>
      </c>
    </row>
    <row r="47" spans="1:4" hidden="1" x14ac:dyDescent="0.3">
      <c r="A47" t="s">
        <v>60</v>
      </c>
      <c r="B47">
        <f>SUMIFS(Censo_2010!F:F,Censo_2010!C:C,'2010_consolidado'!A47)</f>
        <v>474766</v>
      </c>
      <c r="C47">
        <f>SUMIFS(Censo_2010!S:S,Censo_2010!C:C,'2010_consolidado'!A47)</f>
        <v>196</v>
      </c>
      <c r="D47">
        <f t="shared" si="0"/>
        <v>2422.2755102040815</v>
      </c>
    </row>
    <row r="48" spans="1:4" hidden="1" x14ac:dyDescent="0.3">
      <c r="A48" t="s">
        <v>19</v>
      </c>
      <c r="B48">
        <f>SUMIFS(Censo_2010!F:F,Censo_2010!C:C,'2010_consolidado'!A48)</f>
        <v>3827160</v>
      </c>
      <c r="C48">
        <f>SUMIFS(Censo_2010!S:S,Censo_2010!C:C,'2010_consolidado'!A48)</f>
        <v>1545</v>
      </c>
      <c r="D48">
        <f t="shared" si="0"/>
        <v>2477.1262135922329</v>
      </c>
    </row>
    <row r="49" spans="1:4" hidden="1" x14ac:dyDescent="0.3">
      <c r="A49" t="s">
        <v>161</v>
      </c>
      <c r="B49">
        <f>SUMIFS(Censo_2010!F:F,Censo_2010!C:C,'2010_consolidado'!A49)</f>
        <v>4966951</v>
      </c>
      <c r="C49">
        <f>SUMIFS(Censo_2010!S:S,Censo_2010!C:C,'2010_consolidado'!A49)</f>
        <v>2451</v>
      </c>
      <c r="D49">
        <f t="shared" si="0"/>
        <v>2026.4997960016319</v>
      </c>
    </row>
    <row r="50" spans="1:4" hidden="1" x14ac:dyDescent="0.3">
      <c r="A50" t="s">
        <v>147</v>
      </c>
      <c r="B50">
        <f>SUMIFS(Censo_2010!F:F,Censo_2010!C:C,'2010_consolidado'!A50)</f>
        <v>3510734</v>
      </c>
      <c r="C50">
        <f>SUMIFS(Censo_2010!S:S,Censo_2010!C:C,'2010_consolidado'!A50)</f>
        <v>1443</v>
      </c>
      <c r="D50">
        <f t="shared" si="0"/>
        <v>2432.9410949410949</v>
      </c>
    </row>
    <row r="51" spans="1:4" hidden="1" x14ac:dyDescent="0.3">
      <c r="A51" t="s">
        <v>111</v>
      </c>
      <c r="B51">
        <f>SUMIFS(Censo_2010!F:F,Censo_2010!C:C,'2010_consolidado'!A51)</f>
        <v>447990</v>
      </c>
      <c r="C51">
        <f>SUMIFS(Censo_2010!S:S,Censo_2010!C:C,'2010_consolidado'!A51)</f>
        <v>165</v>
      </c>
      <c r="D51">
        <f t="shared" si="0"/>
        <v>2715.090909090909</v>
      </c>
    </row>
    <row r="52" spans="1:4" hidden="1" x14ac:dyDescent="0.3">
      <c r="A52" t="s">
        <v>129</v>
      </c>
      <c r="B52">
        <f>SUMIFS(Censo_2010!F:F,Censo_2010!C:C,'2010_consolidado'!A52)</f>
        <v>2683991</v>
      </c>
      <c r="C52">
        <f>SUMIFS(Censo_2010!S:S,Censo_2010!C:C,'2010_consolidado'!A52)</f>
        <v>1113</v>
      </c>
      <c r="D52">
        <f t="shared" si="0"/>
        <v>2411.4923629829291</v>
      </c>
    </row>
    <row r="53" spans="1:4" hidden="1" x14ac:dyDescent="0.3">
      <c r="A53" t="s">
        <v>159</v>
      </c>
      <c r="B53">
        <f>SUMIFS(Censo_2010!F:F,Censo_2010!C:C,'2010_consolidado'!A53)</f>
        <v>4467734</v>
      </c>
      <c r="C53">
        <f>SUMIFS(Censo_2010!S:S,Censo_2010!C:C,'2010_consolidado'!A53)</f>
        <v>1947</v>
      </c>
      <c r="D53">
        <f t="shared" si="0"/>
        <v>2294.6759116589624</v>
      </c>
    </row>
    <row r="54" spans="1:4" hidden="1" x14ac:dyDescent="0.3">
      <c r="A54" t="s">
        <v>94</v>
      </c>
      <c r="B54">
        <f>SUMIFS(Censo_2010!F:F,Censo_2010!C:C,'2010_consolidado'!A54)</f>
        <v>1212092</v>
      </c>
      <c r="C54">
        <f>SUMIFS(Censo_2010!S:S,Censo_2010!C:C,'2010_consolidado'!A54)</f>
        <v>514</v>
      </c>
      <c r="D54">
        <f t="shared" si="0"/>
        <v>2358.1556420233464</v>
      </c>
    </row>
    <row r="55" spans="1:4" hidden="1" x14ac:dyDescent="0.3">
      <c r="A55" t="s">
        <v>179</v>
      </c>
      <c r="B55">
        <f>SUMIFS(Censo_2010!F:F,Censo_2010!C:C,'2010_consolidado'!A55)</f>
        <v>2543838</v>
      </c>
      <c r="C55">
        <f>SUMIFS(Censo_2010!S:S,Censo_2010!C:C,'2010_consolidado'!A55)</f>
        <v>1233</v>
      </c>
      <c r="D55">
        <f t="shared" si="0"/>
        <v>2063.1289537712896</v>
      </c>
    </row>
    <row r="56" spans="1:4" hidden="1" x14ac:dyDescent="0.3">
      <c r="A56" t="s">
        <v>188</v>
      </c>
      <c r="B56">
        <f>SUMIFS(Censo_2010!F:F,Censo_2010!C:C,'2010_consolidado'!A56)</f>
        <v>5792269</v>
      </c>
      <c r="C56">
        <f>SUMIFS(Censo_2010!S:S,Censo_2010!C:C,'2010_consolidado'!A56)</f>
        <v>3260</v>
      </c>
      <c r="D56">
        <f t="shared" si="0"/>
        <v>1776.7696319018405</v>
      </c>
    </row>
    <row r="57" spans="1:4" hidden="1" x14ac:dyDescent="0.3">
      <c r="A57" t="s">
        <v>170</v>
      </c>
      <c r="B57">
        <f>SUMIFS(Censo_2010!F:F,Censo_2010!C:C,'2010_consolidado'!A57)</f>
        <v>10088712</v>
      </c>
      <c r="C57">
        <f>SUMIFS(Censo_2010!S:S,Censo_2010!C:C,'2010_consolidado'!A57)</f>
        <v>5531</v>
      </c>
      <c r="D57">
        <f t="shared" si="0"/>
        <v>1824.0303742542035</v>
      </c>
    </row>
    <row r="58" spans="1:4" hidden="1" x14ac:dyDescent="0.3">
      <c r="A58" t="s">
        <v>176</v>
      </c>
      <c r="B58">
        <f>SUMIFS(Censo_2010!F:F,Censo_2010!C:C,'2010_consolidado'!A58)</f>
        <v>2034238</v>
      </c>
      <c r="C58">
        <f>SUMIFS(Censo_2010!S:S,Censo_2010!C:C,'2010_consolidado'!A58)</f>
        <v>1254</v>
      </c>
      <c r="D58">
        <f t="shared" si="0"/>
        <v>1622.1993620414673</v>
      </c>
    </row>
    <row r="59" spans="1:4" hidden="1" x14ac:dyDescent="0.3">
      <c r="A59" t="s">
        <v>57</v>
      </c>
      <c r="B59">
        <f>SUMIFS(Censo_2010!F:F,Censo_2010!C:C,'2010_consolidado'!A59)</f>
        <v>95678</v>
      </c>
      <c r="C59">
        <f>SUMIFS(Censo_2010!S:S,Censo_2010!C:C,'2010_consolidado'!A59)</f>
        <v>43</v>
      </c>
      <c r="D59">
        <f t="shared" si="0"/>
        <v>2225.0697674418607</v>
      </c>
    </row>
    <row r="60" spans="1:4" hidden="1" x14ac:dyDescent="0.3">
      <c r="A60" t="s">
        <v>173</v>
      </c>
      <c r="B60">
        <f>SUMIFS(Censo_2010!F:F,Censo_2010!C:C,'2010_consolidado'!A60)</f>
        <v>7407561</v>
      </c>
      <c r="C60">
        <f>SUMIFS(Censo_2010!S:S,Censo_2010!C:C,'2010_consolidado'!A60)</f>
        <v>4100</v>
      </c>
      <c r="D60">
        <f t="shared" si="0"/>
        <v>1806.7221951219512</v>
      </c>
    </row>
    <row r="61" spans="1:4" hidden="1" x14ac:dyDescent="0.3">
      <c r="A61" t="s">
        <v>88</v>
      </c>
      <c r="B61">
        <f>SUMIFS(Censo_2010!F:F,Censo_2010!C:C,'2010_consolidado'!A61)</f>
        <v>750787</v>
      </c>
      <c r="C61">
        <f>SUMIFS(Censo_2010!S:S,Censo_2010!C:C,'2010_consolidado'!A61)</f>
        <v>340</v>
      </c>
      <c r="D61">
        <f t="shared" si="0"/>
        <v>2208.1970588235295</v>
      </c>
    </row>
    <row r="62" spans="1:4" hidden="1" x14ac:dyDescent="0.3">
      <c r="A62" t="s">
        <v>138</v>
      </c>
      <c r="B62">
        <f>SUMIFS(Censo_2010!F:F,Censo_2010!C:C,'2010_consolidado'!A62)</f>
        <v>521512</v>
      </c>
      <c r="C62">
        <f>SUMIFS(Censo_2010!S:S,Censo_2010!C:C,'2010_consolidado'!A62)</f>
        <v>279</v>
      </c>
      <c r="D62">
        <f t="shared" si="0"/>
        <v>1869.2186379928316</v>
      </c>
    </row>
    <row r="63" spans="1:4" hidden="1" x14ac:dyDescent="0.3">
      <c r="A63" t="s">
        <v>182</v>
      </c>
      <c r="B63">
        <f>SUMIFS(Censo_2010!F:F,Censo_2010!C:C,'2010_consolidado'!A63)</f>
        <v>3720909</v>
      </c>
      <c r="C63">
        <f>SUMIFS(Censo_2010!S:S,Censo_2010!C:C,'2010_consolidado'!A63)</f>
        <v>2342</v>
      </c>
      <c r="D63">
        <f t="shared" si="0"/>
        <v>1588.7741246797609</v>
      </c>
    </row>
    <row r="64" spans="1:4" hidden="1" x14ac:dyDescent="0.3">
      <c r="A64" t="s">
        <v>221</v>
      </c>
      <c r="B64">
        <f>SUMIFS(Censo_2010!F:F,Censo_2010!C:C,'2010_consolidado'!A64)</f>
        <v>37226</v>
      </c>
      <c r="C64">
        <f>SUMIFS(Censo_2010!S:S,Censo_2010!C:C,'2010_consolidado'!A64)</f>
        <v>31</v>
      </c>
      <c r="D64">
        <f t="shared" si="0"/>
        <v>1200.8387096774193</v>
      </c>
    </row>
  </sheetData>
  <autoFilter ref="A1:D64" xr:uid="{1C2E4FEF-5F01-4AAF-8C63-A5BB60C4D7F6}">
    <filterColumn colId="0">
      <filters>
        <filter val="Abaeté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7028-523C-479A-8E18-5C243607D75E}">
  <dimension ref="A1:D15"/>
  <sheetViews>
    <sheetView workbookViewId="0">
      <selection activeCell="C14" sqref="C14"/>
    </sheetView>
  </sheetViews>
  <sheetFormatPr defaultRowHeight="14.4" x14ac:dyDescent="0.3"/>
  <cols>
    <col min="1" max="1" width="7.5546875" bestFit="1" customWidth="1"/>
    <col min="2" max="2" width="27.6640625" bestFit="1" customWidth="1"/>
    <col min="3" max="3" width="28.109375" bestFit="1" customWidth="1"/>
    <col min="4" max="4" width="112.88671875" bestFit="1" customWidth="1"/>
  </cols>
  <sheetData>
    <row r="1" spans="1:4" x14ac:dyDescent="0.3">
      <c r="A1" t="s">
        <v>223</v>
      </c>
      <c r="B1" t="s">
        <v>224</v>
      </c>
      <c r="C1" t="s">
        <v>225</v>
      </c>
      <c r="D1" t="s">
        <v>226</v>
      </c>
    </row>
    <row r="2" spans="1:4" x14ac:dyDescent="0.3">
      <c r="A2" t="s">
        <v>203</v>
      </c>
      <c r="B2" t="s">
        <v>227</v>
      </c>
      <c r="C2" t="s">
        <v>228</v>
      </c>
      <c r="D2" t="s">
        <v>229</v>
      </c>
    </row>
    <row r="3" spans="1:4" x14ac:dyDescent="0.3">
      <c r="A3" t="s">
        <v>204</v>
      </c>
      <c r="B3" t="s">
        <v>230</v>
      </c>
      <c r="C3" t="s">
        <v>231</v>
      </c>
      <c r="D3" t="s">
        <v>232</v>
      </c>
    </row>
    <row r="4" spans="1:4" x14ac:dyDescent="0.3">
      <c r="A4" t="s">
        <v>205</v>
      </c>
      <c r="B4" t="s">
        <v>233</v>
      </c>
      <c r="C4" t="s">
        <v>234</v>
      </c>
      <c r="D4" t="s">
        <v>235</v>
      </c>
    </row>
    <row r="5" spans="1:4" x14ac:dyDescent="0.3">
      <c r="A5" t="s">
        <v>206</v>
      </c>
      <c r="B5" t="s">
        <v>236</v>
      </c>
      <c r="C5" t="s">
        <v>237</v>
      </c>
      <c r="D5" t="s">
        <v>238</v>
      </c>
    </row>
    <row r="6" spans="1:4" x14ac:dyDescent="0.3">
      <c r="A6" t="s">
        <v>207</v>
      </c>
      <c r="B6" t="s">
        <v>239</v>
      </c>
      <c r="C6" t="s">
        <v>240</v>
      </c>
      <c r="D6" t="s">
        <v>241</v>
      </c>
    </row>
    <row r="7" spans="1:4" x14ac:dyDescent="0.3">
      <c r="A7" t="s">
        <v>208</v>
      </c>
      <c r="B7" t="s">
        <v>242</v>
      </c>
      <c r="C7" t="s">
        <v>243</v>
      </c>
      <c r="D7" t="s">
        <v>244</v>
      </c>
    </row>
    <row r="8" spans="1:4" x14ac:dyDescent="0.3">
      <c r="A8" t="s">
        <v>209</v>
      </c>
      <c r="B8" t="s">
        <v>245</v>
      </c>
      <c r="C8" t="s">
        <v>246</v>
      </c>
      <c r="D8" t="s">
        <v>247</v>
      </c>
    </row>
    <row r="9" spans="1:4" x14ac:dyDescent="0.3">
      <c r="A9" t="s">
        <v>210</v>
      </c>
      <c r="B9" t="s">
        <v>248</v>
      </c>
      <c r="C9" t="s">
        <v>249</v>
      </c>
      <c r="D9" t="s">
        <v>250</v>
      </c>
    </row>
    <row r="10" spans="1:4" x14ac:dyDescent="0.3">
      <c r="A10" t="s">
        <v>211</v>
      </c>
      <c r="B10" t="s">
        <v>251</v>
      </c>
      <c r="C10" t="s">
        <v>252</v>
      </c>
      <c r="D10" t="s">
        <v>253</v>
      </c>
    </row>
    <row r="11" spans="1:4" x14ac:dyDescent="0.3">
      <c r="A11" t="s">
        <v>212</v>
      </c>
      <c r="B11" t="s">
        <v>254</v>
      </c>
      <c r="C11" t="s">
        <v>255</v>
      </c>
      <c r="D11" t="s">
        <v>256</v>
      </c>
    </row>
    <row r="12" spans="1:4" x14ac:dyDescent="0.3">
      <c r="A12" t="s">
        <v>213</v>
      </c>
      <c r="B12" t="s">
        <v>257</v>
      </c>
      <c r="C12" t="s">
        <v>258</v>
      </c>
      <c r="D12" t="s">
        <v>259</v>
      </c>
    </row>
    <row r="13" spans="1:4" x14ac:dyDescent="0.3">
      <c r="A13" t="s">
        <v>214</v>
      </c>
      <c r="B13" t="s">
        <v>260</v>
      </c>
      <c r="C13" t="s">
        <v>261</v>
      </c>
      <c r="D13" t="s">
        <v>262</v>
      </c>
    </row>
    <row r="14" spans="1:4" x14ac:dyDescent="0.3">
      <c r="A14" t="s">
        <v>215</v>
      </c>
      <c r="B14" t="s">
        <v>263</v>
      </c>
      <c r="C14" t="s">
        <v>264</v>
      </c>
      <c r="D14" t="s">
        <v>265</v>
      </c>
    </row>
    <row r="15" spans="1:4" x14ac:dyDescent="0.3">
      <c r="A15" t="s">
        <v>216</v>
      </c>
      <c r="B15" t="s">
        <v>266</v>
      </c>
      <c r="C15" t="s">
        <v>267</v>
      </c>
      <c r="D15" t="s">
        <v>268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F8AE-C390-4673-805B-619F75AC8F8F}">
  <sheetPr filterMode="1"/>
  <dimension ref="A1:M66"/>
  <sheetViews>
    <sheetView zoomScaleNormal="100" workbookViewId="0">
      <selection activeCell="A4" sqref="A4"/>
    </sheetView>
  </sheetViews>
  <sheetFormatPr defaultRowHeight="14.4" x14ac:dyDescent="0.3"/>
  <cols>
    <col min="1" max="1" width="25.44140625" bestFit="1" customWidth="1"/>
    <col min="2" max="10" width="14" style="8" customWidth="1"/>
    <col min="11" max="11" width="14.44140625" customWidth="1"/>
    <col min="12" max="13" width="9.44140625" bestFit="1" customWidth="1"/>
  </cols>
  <sheetData>
    <row r="1" spans="1:13" x14ac:dyDescent="0.3">
      <c r="A1" t="s">
        <v>280</v>
      </c>
      <c r="B1" s="7">
        <v>37.5</v>
      </c>
      <c r="C1" s="7">
        <v>113.25</v>
      </c>
      <c r="D1" s="7">
        <v>226.5</v>
      </c>
      <c r="E1" s="7">
        <v>377.5</v>
      </c>
      <c r="F1" s="7">
        <v>604</v>
      </c>
      <c r="G1" s="7">
        <v>1132.5</v>
      </c>
      <c r="H1" s="7">
        <v>1887.5</v>
      </c>
      <c r="I1" s="7">
        <v>2642.5</v>
      </c>
      <c r="J1" s="7">
        <v>3775</v>
      </c>
      <c r="K1" t="s">
        <v>278</v>
      </c>
      <c r="L1" t="s">
        <v>279</v>
      </c>
      <c r="M1" t="s">
        <v>282</v>
      </c>
    </row>
    <row r="2" spans="1:13" x14ac:dyDescent="0.3">
      <c r="A2" t="s">
        <v>281</v>
      </c>
      <c r="B2" s="7">
        <f>B1*B3</f>
        <v>0</v>
      </c>
      <c r="C2" s="7">
        <f t="shared" ref="C2:J2" si="0">C1*C3</f>
        <v>1132.5</v>
      </c>
      <c r="D2" s="7">
        <f t="shared" si="0"/>
        <v>5662.5</v>
      </c>
      <c r="E2" s="7">
        <f t="shared" si="0"/>
        <v>10947.5</v>
      </c>
      <c r="F2" s="7">
        <f t="shared" si="0"/>
        <v>50736</v>
      </c>
      <c r="G2" s="7">
        <f t="shared" si="0"/>
        <v>125707.5</v>
      </c>
      <c r="H2" s="7">
        <f t="shared" si="0"/>
        <v>50962.5</v>
      </c>
      <c r="I2" s="7">
        <f t="shared" si="0"/>
        <v>36995</v>
      </c>
      <c r="J2" s="7">
        <f t="shared" si="0"/>
        <v>37750</v>
      </c>
      <c r="K2" s="7">
        <f>SUM(B2:J2)</f>
        <v>319893.5</v>
      </c>
      <c r="L2" s="10">
        <f>K2/K3</f>
        <v>1031.9145161290323</v>
      </c>
      <c r="M2" s="10">
        <f>L2*3.393</f>
        <v>3501.2859532258067</v>
      </c>
    </row>
    <row r="3" spans="1:13" x14ac:dyDescent="0.3">
      <c r="B3" s="12">
        <f>SUBTOTAL(9,B5:B66)</f>
        <v>0</v>
      </c>
      <c r="C3" s="12">
        <f t="shared" ref="C3:K3" si="1">SUBTOTAL(9,C5:C66)</f>
        <v>10</v>
      </c>
      <c r="D3" s="12">
        <f t="shared" si="1"/>
        <v>25</v>
      </c>
      <c r="E3" s="12">
        <f t="shared" si="1"/>
        <v>29</v>
      </c>
      <c r="F3" s="12">
        <f t="shared" si="1"/>
        <v>84</v>
      </c>
      <c r="G3" s="12">
        <f t="shared" si="1"/>
        <v>111</v>
      </c>
      <c r="H3" s="12">
        <f t="shared" si="1"/>
        <v>27</v>
      </c>
      <c r="I3" s="12">
        <f t="shared" si="1"/>
        <v>14</v>
      </c>
      <c r="J3" s="12">
        <f t="shared" si="1"/>
        <v>10</v>
      </c>
      <c r="K3">
        <f t="shared" si="1"/>
        <v>310</v>
      </c>
    </row>
    <row r="4" spans="1:13" ht="34.799999999999997" customHeight="1" x14ac:dyDescent="0.3">
      <c r="A4" s="6" t="s">
        <v>201</v>
      </c>
      <c r="B4" s="9" t="s">
        <v>269</v>
      </c>
      <c r="C4" s="9" t="s">
        <v>270</v>
      </c>
      <c r="D4" s="9" t="s">
        <v>271</v>
      </c>
      <c r="E4" s="9" t="s">
        <v>272</v>
      </c>
      <c r="F4" s="9" t="s">
        <v>273</v>
      </c>
      <c r="G4" s="9" t="s">
        <v>274</v>
      </c>
      <c r="H4" s="9" t="s">
        <v>275</v>
      </c>
      <c r="I4" s="9" t="s">
        <v>276</v>
      </c>
      <c r="J4" s="9" t="s">
        <v>277</v>
      </c>
      <c r="K4" s="6" t="s">
        <v>278</v>
      </c>
      <c r="L4" t="s">
        <v>279</v>
      </c>
      <c r="M4" t="s">
        <v>282</v>
      </c>
    </row>
    <row r="5" spans="1:13" hidden="1" x14ac:dyDescent="0.3">
      <c r="A5" t="s">
        <v>22</v>
      </c>
      <c r="B5">
        <v>0</v>
      </c>
      <c r="C5">
        <v>6</v>
      </c>
      <c r="D5">
        <v>9</v>
      </c>
      <c r="E5">
        <v>20</v>
      </c>
      <c r="F5">
        <v>34</v>
      </c>
      <c r="G5">
        <v>75</v>
      </c>
      <c r="H5">
        <v>44</v>
      </c>
      <c r="I5">
        <v>62</v>
      </c>
      <c r="J5">
        <v>186</v>
      </c>
      <c r="K5">
        <v>436</v>
      </c>
      <c r="L5" s="10">
        <f t="shared" ref="L5:L36" si="2">((B5*$B$1)+(C5*$C$1)+(D5*$D$1)+(E5*$E$1)+(F5*$F$1)+(G5*$G$1)+(H5*$H$1)+(I5*$I$1)+(J5*$J$1))/K5</f>
        <v>2442.1479357798166</v>
      </c>
      <c r="M5" s="10">
        <f t="shared" ref="M5:M36" si="3">L5*3.393</f>
        <v>8286.207946100918</v>
      </c>
    </row>
    <row r="6" spans="1:13" hidden="1" x14ac:dyDescent="0.3">
      <c r="A6" t="s">
        <v>25</v>
      </c>
      <c r="B6" s="11">
        <v>2</v>
      </c>
      <c r="C6" s="11">
        <v>42</v>
      </c>
      <c r="D6" s="11">
        <v>63</v>
      </c>
      <c r="E6" s="11">
        <v>63</v>
      </c>
      <c r="F6" s="11">
        <v>204</v>
      </c>
      <c r="G6" s="11">
        <v>581</v>
      </c>
      <c r="H6" s="11">
        <v>303</v>
      </c>
      <c r="I6" s="11">
        <v>308</v>
      </c>
      <c r="J6" s="11">
        <v>546</v>
      </c>
      <c r="K6">
        <v>2112</v>
      </c>
      <c r="L6" s="10">
        <f t="shared" si="2"/>
        <v>2022.2701231060605</v>
      </c>
      <c r="M6" s="10">
        <f t="shared" si="3"/>
        <v>6861.5625276988631</v>
      </c>
    </row>
    <row r="7" spans="1:13" hidden="1" x14ac:dyDescent="0.3">
      <c r="A7" t="s">
        <v>31</v>
      </c>
      <c r="B7" s="11">
        <v>0</v>
      </c>
      <c r="C7" s="11">
        <v>18</v>
      </c>
      <c r="D7" s="11">
        <v>47</v>
      </c>
      <c r="E7" s="11">
        <v>51</v>
      </c>
      <c r="F7" s="11">
        <v>125</v>
      </c>
      <c r="G7" s="11">
        <v>435</v>
      </c>
      <c r="H7" s="11">
        <v>246</v>
      </c>
      <c r="I7" s="11">
        <v>229</v>
      </c>
      <c r="J7" s="11">
        <v>333</v>
      </c>
      <c r="K7">
        <v>1484</v>
      </c>
      <c r="L7" s="10">
        <f t="shared" si="2"/>
        <v>1972.1068059299191</v>
      </c>
      <c r="M7" s="10">
        <f t="shared" si="3"/>
        <v>6691.3583925202156</v>
      </c>
    </row>
    <row r="8" spans="1:13" hidden="1" x14ac:dyDescent="0.3">
      <c r="A8" t="s">
        <v>28</v>
      </c>
      <c r="B8" s="11">
        <v>2</v>
      </c>
      <c r="C8" s="11">
        <v>153</v>
      </c>
      <c r="D8" s="11">
        <v>252</v>
      </c>
      <c r="E8" s="11">
        <v>240</v>
      </c>
      <c r="F8" s="11">
        <v>605</v>
      </c>
      <c r="G8" s="11">
        <v>1264</v>
      </c>
      <c r="H8" s="11">
        <v>619</v>
      </c>
      <c r="I8" s="11">
        <v>538</v>
      </c>
      <c r="J8" s="11">
        <v>980</v>
      </c>
      <c r="K8">
        <v>4653</v>
      </c>
      <c r="L8" s="10">
        <f t="shared" si="2"/>
        <v>1773.3736836449602</v>
      </c>
      <c r="M8" s="10">
        <f t="shared" si="3"/>
        <v>6017.0569086073501</v>
      </c>
    </row>
    <row r="9" spans="1:13" hidden="1" x14ac:dyDescent="0.3">
      <c r="A9" t="s">
        <v>68</v>
      </c>
      <c r="B9" s="11">
        <v>0</v>
      </c>
      <c r="C9" s="11">
        <v>16</v>
      </c>
      <c r="D9" s="11">
        <v>10</v>
      </c>
      <c r="E9" s="11">
        <v>21</v>
      </c>
      <c r="F9" s="11">
        <v>30</v>
      </c>
      <c r="G9" s="11">
        <v>46</v>
      </c>
      <c r="H9" s="11">
        <v>16</v>
      </c>
      <c r="I9" s="11">
        <v>13</v>
      </c>
      <c r="J9" s="11">
        <v>60</v>
      </c>
      <c r="K9">
        <v>212</v>
      </c>
      <c r="L9" s="10">
        <f t="shared" si="2"/>
        <v>1760.7169811320755</v>
      </c>
      <c r="M9" s="10">
        <f t="shared" si="3"/>
        <v>5974.1127169811316</v>
      </c>
    </row>
    <row r="10" spans="1:13" hidden="1" x14ac:dyDescent="0.3">
      <c r="A10" t="s">
        <v>43</v>
      </c>
      <c r="B10" s="11">
        <v>0</v>
      </c>
      <c r="C10" s="11">
        <v>7</v>
      </c>
      <c r="D10" s="11">
        <v>8</v>
      </c>
      <c r="E10" s="11">
        <v>6</v>
      </c>
      <c r="F10" s="11">
        <v>22</v>
      </c>
      <c r="G10" s="11">
        <v>53</v>
      </c>
      <c r="H10" s="11">
        <v>30</v>
      </c>
      <c r="I10" s="11">
        <v>17</v>
      </c>
      <c r="J10" s="11">
        <v>30</v>
      </c>
      <c r="K10">
        <v>173</v>
      </c>
      <c r="L10" s="10">
        <f t="shared" si="2"/>
        <v>1693.5130057803469</v>
      </c>
      <c r="M10" s="10">
        <f t="shared" si="3"/>
        <v>5746.0896286127172</v>
      </c>
    </row>
    <row r="11" spans="1:13" hidden="1" x14ac:dyDescent="0.3">
      <c r="A11" t="s">
        <v>37</v>
      </c>
      <c r="B11" s="11">
        <v>0</v>
      </c>
      <c r="C11" s="11">
        <v>48</v>
      </c>
      <c r="D11" s="11">
        <v>94</v>
      </c>
      <c r="E11" s="11">
        <v>89</v>
      </c>
      <c r="F11" s="11">
        <v>211</v>
      </c>
      <c r="G11" s="11">
        <v>314</v>
      </c>
      <c r="H11" s="11">
        <v>150</v>
      </c>
      <c r="I11" s="11">
        <v>145</v>
      </c>
      <c r="J11" s="11">
        <v>240</v>
      </c>
      <c r="K11">
        <v>1291</v>
      </c>
      <c r="L11" s="10">
        <f t="shared" si="2"/>
        <v>1638.7769171185128</v>
      </c>
      <c r="M11" s="10">
        <f t="shared" si="3"/>
        <v>5560.3700797831134</v>
      </c>
    </row>
    <row r="12" spans="1:13" hidden="1" x14ac:dyDescent="0.3">
      <c r="A12" t="s">
        <v>48</v>
      </c>
      <c r="B12" s="11">
        <v>0</v>
      </c>
      <c r="C12" s="11">
        <v>16</v>
      </c>
      <c r="D12" s="11">
        <v>36</v>
      </c>
      <c r="E12" s="11">
        <v>35</v>
      </c>
      <c r="F12" s="11">
        <v>130</v>
      </c>
      <c r="G12" s="11">
        <v>330</v>
      </c>
      <c r="H12" s="11">
        <v>122</v>
      </c>
      <c r="I12" s="11">
        <v>97</v>
      </c>
      <c r="J12" s="11">
        <v>111</v>
      </c>
      <c r="K12">
        <v>877</v>
      </c>
      <c r="L12" s="10">
        <f t="shared" si="2"/>
        <v>1574.7388825541618</v>
      </c>
      <c r="M12" s="10">
        <f t="shared" si="3"/>
        <v>5343.0890285062706</v>
      </c>
    </row>
    <row r="13" spans="1:13" hidden="1" x14ac:dyDescent="0.3">
      <c r="A13" t="s">
        <v>34</v>
      </c>
      <c r="B13" s="11">
        <v>1</v>
      </c>
      <c r="C13" s="11">
        <v>98</v>
      </c>
      <c r="D13" s="11">
        <v>132</v>
      </c>
      <c r="E13" s="11">
        <v>140</v>
      </c>
      <c r="F13" s="11">
        <v>266</v>
      </c>
      <c r="G13" s="11">
        <v>403</v>
      </c>
      <c r="H13" s="11">
        <v>149</v>
      </c>
      <c r="I13" s="11">
        <v>120</v>
      </c>
      <c r="J13" s="11">
        <v>320</v>
      </c>
      <c r="K13">
        <v>1629</v>
      </c>
      <c r="L13" s="10">
        <f t="shared" si="2"/>
        <v>1545.2934315531002</v>
      </c>
      <c r="M13" s="10">
        <f t="shared" si="3"/>
        <v>5243.1806132596685</v>
      </c>
    </row>
    <row r="14" spans="1:13" hidden="1" x14ac:dyDescent="0.3">
      <c r="A14" t="s">
        <v>82</v>
      </c>
      <c r="B14" s="11">
        <v>0</v>
      </c>
      <c r="C14" s="11">
        <v>19</v>
      </c>
      <c r="D14" s="11">
        <v>35</v>
      </c>
      <c r="E14" s="11">
        <v>45</v>
      </c>
      <c r="F14" s="11">
        <v>138</v>
      </c>
      <c r="G14" s="11">
        <v>389</v>
      </c>
      <c r="H14" s="11">
        <v>153</v>
      </c>
      <c r="I14" s="11">
        <v>129</v>
      </c>
      <c r="J14" s="11">
        <v>99</v>
      </c>
      <c r="K14">
        <v>1007</v>
      </c>
      <c r="L14" s="10">
        <f t="shared" si="2"/>
        <v>1543.5513902681232</v>
      </c>
      <c r="M14" s="10">
        <f t="shared" si="3"/>
        <v>5237.2698671797416</v>
      </c>
    </row>
    <row r="15" spans="1:13" ht="10.199999999999999" hidden="1" customHeight="1" x14ac:dyDescent="0.3">
      <c r="A15" t="s">
        <v>71</v>
      </c>
      <c r="B15" s="11">
        <v>1</v>
      </c>
      <c r="C15" s="11">
        <v>86</v>
      </c>
      <c r="D15" s="11">
        <v>150</v>
      </c>
      <c r="E15" s="11">
        <v>171</v>
      </c>
      <c r="F15" s="11">
        <v>285</v>
      </c>
      <c r="G15" s="11">
        <v>581</v>
      </c>
      <c r="H15" s="11">
        <v>196</v>
      </c>
      <c r="I15" s="11">
        <v>182</v>
      </c>
      <c r="J15" s="11">
        <v>269</v>
      </c>
      <c r="K15">
        <v>1921</v>
      </c>
      <c r="L15" s="10">
        <f t="shared" si="2"/>
        <v>1460.0661114003124</v>
      </c>
      <c r="M15" s="10">
        <f t="shared" si="3"/>
        <v>4954.0043159812594</v>
      </c>
    </row>
    <row r="16" spans="1:13" hidden="1" x14ac:dyDescent="0.3">
      <c r="A16" t="s">
        <v>142</v>
      </c>
      <c r="B16" s="11">
        <v>0</v>
      </c>
      <c r="C16" s="11">
        <v>10</v>
      </c>
      <c r="D16" s="11">
        <v>19</v>
      </c>
      <c r="E16" s="11">
        <v>20</v>
      </c>
      <c r="F16" s="11">
        <v>29</v>
      </c>
      <c r="G16" s="11">
        <v>59</v>
      </c>
      <c r="H16" s="11">
        <v>26</v>
      </c>
      <c r="I16" s="11">
        <v>16</v>
      </c>
      <c r="J16" s="11">
        <v>27</v>
      </c>
      <c r="K16">
        <v>206</v>
      </c>
      <c r="L16" s="10">
        <f t="shared" si="2"/>
        <v>1410.6771844660195</v>
      </c>
      <c r="M16" s="10">
        <f t="shared" si="3"/>
        <v>4786.4276868932038</v>
      </c>
    </row>
    <row r="17" spans="1:13" hidden="1" x14ac:dyDescent="0.3">
      <c r="A17" t="s">
        <v>45</v>
      </c>
      <c r="B17" s="11">
        <v>4</v>
      </c>
      <c r="C17" s="11">
        <v>240</v>
      </c>
      <c r="D17" s="11">
        <v>374</v>
      </c>
      <c r="E17" s="11">
        <v>416</v>
      </c>
      <c r="F17" s="11">
        <v>781</v>
      </c>
      <c r="G17" s="11">
        <v>1198</v>
      </c>
      <c r="H17" s="11">
        <v>441</v>
      </c>
      <c r="I17" s="11">
        <v>343</v>
      </c>
      <c r="J17" s="11">
        <v>630</v>
      </c>
      <c r="K17">
        <v>4427</v>
      </c>
      <c r="L17" s="10">
        <f t="shared" si="2"/>
        <v>1403.7847300655071</v>
      </c>
      <c r="M17" s="10">
        <f t="shared" si="3"/>
        <v>4763.0415891122657</v>
      </c>
    </row>
    <row r="18" spans="1:13" hidden="1" x14ac:dyDescent="0.3">
      <c r="A18" t="s">
        <v>10</v>
      </c>
      <c r="B18" s="11">
        <v>0</v>
      </c>
      <c r="C18" s="11">
        <v>19</v>
      </c>
      <c r="D18" s="11">
        <v>29</v>
      </c>
      <c r="E18" s="11">
        <v>25</v>
      </c>
      <c r="F18" s="11">
        <v>42</v>
      </c>
      <c r="G18" s="11">
        <v>87</v>
      </c>
      <c r="H18" s="11">
        <v>38</v>
      </c>
      <c r="I18" s="11">
        <v>20</v>
      </c>
      <c r="J18" s="11">
        <v>35</v>
      </c>
      <c r="K18">
        <v>295</v>
      </c>
      <c r="L18" s="10">
        <f t="shared" si="2"/>
        <v>1351.7059322033899</v>
      </c>
      <c r="M18" s="10">
        <f t="shared" si="3"/>
        <v>4586.3382279661018</v>
      </c>
    </row>
    <row r="19" spans="1:13" hidden="1" x14ac:dyDescent="0.3">
      <c r="A19" t="s">
        <v>96</v>
      </c>
      <c r="B19" s="11">
        <v>0</v>
      </c>
      <c r="C19" s="11">
        <v>40</v>
      </c>
      <c r="D19" s="11">
        <v>59</v>
      </c>
      <c r="E19" s="11">
        <v>64</v>
      </c>
      <c r="F19" s="11">
        <v>111</v>
      </c>
      <c r="G19" s="11">
        <v>250</v>
      </c>
      <c r="H19" s="11">
        <v>119</v>
      </c>
      <c r="I19" s="11">
        <v>70</v>
      </c>
      <c r="J19" s="11">
        <v>51</v>
      </c>
      <c r="K19">
        <v>764</v>
      </c>
      <c r="L19" s="10">
        <f t="shared" si="2"/>
        <v>1301.4856020942409</v>
      </c>
      <c r="M19" s="10">
        <f t="shared" si="3"/>
        <v>4415.9406479057589</v>
      </c>
    </row>
    <row r="20" spans="1:13" hidden="1" x14ac:dyDescent="0.3">
      <c r="A20" t="s">
        <v>54</v>
      </c>
      <c r="B20" s="11">
        <v>2</v>
      </c>
      <c r="C20" s="11">
        <v>86</v>
      </c>
      <c r="D20" s="11">
        <v>140</v>
      </c>
      <c r="E20" s="11">
        <v>167</v>
      </c>
      <c r="F20" s="11">
        <v>351</v>
      </c>
      <c r="G20" s="11">
        <v>549</v>
      </c>
      <c r="H20" s="11">
        <v>220</v>
      </c>
      <c r="I20" s="11">
        <v>169</v>
      </c>
      <c r="J20" s="11">
        <v>155</v>
      </c>
      <c r="K20">
        <v>1839</v>
      </c>
      <c r="L20" s="10">
        <f t="shared" si="2"/>
        <v>1297.0478520935292</v>
      </c>
      <c r="M20" s="10">
        <f t="shared" si="3"/>
        <v>4400.883362153344</v>
      </c>
    </row>
    <row r="21" spans="1:13" hidden="1" x14ac:dyDescent="0.3">
      <c r="A21" t="s">
        <v>62</v>
      </c>
      <c r="B21" s="11">
        <v>0</v>
      </c>
      <c r="C21" s="11">
        <v>46</v>
      </c>
      <c r="D21" s="11">
        <v>73</v>
      </c>
      <c r="E21" s="11">
        <v>101</v>
      </c>
      <c r="F21" s="11">
        <v>235</v>
      </c>
      <c r="G21" s="11">
        <v>375</v>
      </c>
      <c r="H21" s="11">
        <v>129</v>
      </c>
      <c r="I21" s="11">
        <v>80</v>
      </c>
      <c r="J21" s="11">
        <v>86</v>
      </c>
      <c r="K21">
        <v>1125</v>
      </c>
      <c r="L21" s="10">
        <f t="shared" si="2"/>
        <v>1249.8102222222221</v>
      </c>
      <c r="M21" s="10">
        <f t="shared" si="3"/>
        <v>4240.6060839999991</v>
      </c>
    </row>
    <row r="22" spans="1:13" hidden="1" x14ac:dyDescent="0.3">
      <c r="A22" t="s">
        <v>74</v>
      </c>
      <c r="B22" s="11">
        <v>0</v>
      </c>
      <c r="C22" s="11">
        <v>28</v>
      </c>
      <c r="D22" s="11">
        <v>41</v>
      </c>
      <c r="E22" s="11">
        <v>50</v>
      </c>
      <c r="F22" s="11">
        <v>82</v>
      </c>
      <c r="G22" s="11">
        <v>164</v>
      </c>
      <c r="H22" s="11">
        <v>45</v>
      </c>
      <c r="I22" s="11">
        <v>32</v>
      </c>
      <c r="J22" s="11">
        <v>44</v>
      </c>
      <c r="K22">
        <v>486</v>
      </c>
      <c r="L22" s="10">
        <f t="shared" si="2"/>
        <v>1239.0699588477366</v>
      </c>
      <c r="M22" s="10">
        <f t="shared" si="3"/>
        <v>4204.1643703703703</v>
      </c>
    </row>
    <row r="23" spans="1:13" hidden="1" x14ac:dyDescent="0.3">
      <c r="A23" t="s">
        <v>51</v>
      </c>
      <c r="B23" s="11">
        <v>2</v>
      </c>
      <c r="C23" s="11">
        <v>122</v>
      </c>
      <c r="D23" s="11">
        <v>186</v>
      </c>
      <c r="E23" s="11">
        <v>173</v>
      </c>
      <c r="F23" s="11">
        <v>425</v>
      </c>
      <c r="G23" s="11">
        <v>608</v>
      </c>
      <c r="H23" s="11">
        <v>191</v>
      </c>
      <c r="I23" s="11">
        <v>139</v>
      </c>
      <c r="J23" s="11">
        <v>176</v>
      </c>
      <c r="K23">
        <v>2022</v>
      </c>
      <c r="L23" s="10">
        <f t="shared" si="2"/>
        <v>1216.0276953511375</v>
      </c>
      <c r="M23" s="10">
        <f t="shared" si="3"/>
        <v>4125.9819703264093</v>
      </c>
    </row>
    <row r="24" spans="1:13" hidden="1" x14ac:dyDescent="0.3">
      <c r="A24" t="s">
        <v>77</v>
      </c>
      <c r="B24">
        <v>2</v>
      </c>
      <c r="C24">
        <v>11</v>
      </c>
      <c r="D24">
        <v>29</v>
      </c>
      <c r="E24">
        <v>50</v>
      </c>
      <c r="F24">
        <v>115</v>
      </c>
      <c r="G24">
        <v>301</v>
      </c>
      <c r="H24">
        <v>71</v>
      </c>
      <c r="I24">
        <v>37</v>
      </c>
      <c r="J24">
        <v>18</v>
      </c>
      <c r="K24">
        <v>634</v>
      </c>
      <c r="L24" s="10">
        <f t="shared" si="2"/>
        <v>1162.2109621451104</v>
      </c>
      <c r="M24" s="10">
        <f t="shared" si="3"/>
        <v>3943.3817945583596</v>
      </c>
    </row>
    <row r="25" spans="1:13" hidden="1" x14ac:dyDescent="0.3">
      <c r="A25" t="s">
        <v>65</v>
      </c>
      <c r="B25">
        <v>3</v>
      </c>
      <c r="C25">
        <v>68</v>
      </c>
      <c r="D25">
        <v>113</v>
      </c>
      <c r="E25">
        <v>136</v>
      </c>
      <c r="F25">
        <v>264</v>
      </c>
      <c r="G25">
        <v>363</v>
      </c>
      <c r="H25">
        <v>95</v>
      </c>
      <c r="I25">
        <v>72</v>
      </c>
      <c r="J25">
        <v>91</v>
      </c>
      <c r="K25">
        <v>1205</v>
      </c>
      <c r="L25" s="10">
        <f t="shared" si="2"/>
        <v>1135.6008298755187</v>
      </c>
      <c r="M25" s="10">
        <f t="shared" si="3"/>
        <v>3853.0936157676347</v>
      </c>
    </row>
    <row r="26" spans="1:13" hidden="1" x14ac:dyDescent="0.3">
      <c r="A26" t="s">
        <v>220</v>
      </c>
      <c r="B26">
        <v>1</v>
      </c>
      <c r="C26">
        <v>131</v>
      </c>
      <c r="D26">
        <v>174</v>
      </c>
      <c r="E26">
        <v>236</v>
      </c>
      <c r="F26">
        <v>437</v>
      </c>
      <c r="G26">
        <v>619</v>
      </c>
      <c r="H26">
        <v>192</v>
      </c>
      <c r="I26">
        <v>131</v>
      </c>
      <c r="J26">
        <v>115</v>
      </c>
      <c r="K26">
        <v>2036</v>
      </c>
      <c r="L26" s="10">
        <f t="shared" si="2"/>
        <v>1105.6150540275048</v>
      </c>
      <c r="M26" s="10">
        <f t="shared" si="3"/>
        <v>3751.3518783153236</v>
      </c>
    </row>
    <row r="27" spans="1:13" x14ac:dyDescent="0.3">
      <c r="A27" t="s">
        <v>219</v>
      </c>
      <c r="B27">
        <v>0</v>
      </c>
      <c r="C27">
        <v>10</v>
      </c>
      <c r="D27">
        <v>25</v>
      </c>
      <c r="E27">
        <v>29</v>
      </c>
      <c r="F27">
        <v>84</v>
      </c>
      <c r="G27">
        <v>111</v>
      </c>
      <c r="H27">
        <v>27</v>
      </c>
      <c r="I27">
        <v>14</v>
      </c>
      <c r="J27">
        <v>10</v>
      </c>
      <c r="K27">
        <v>310</v>
      </c>
      <c r="L27" s="10">
        <f t="shared" si="2"/>
        <v>1031.9145161290323</v>
      </c>
      <c r="M27" s="10">
        <f t="shared" si="3"/>
        <v>3501.2859532258067</v>
      </c>
    </row>
    <row r="28" spans="1:13" hidden="1" x14ac:dyDescent="0.3">
      <c r="A28" t="s">
        <v>79</v>
      </c>
      <c r="B28">
        <v>3</v>
      </c>
      <c r="C28">
        <v>116</v>
      </c>
      <c r="D28">
        <v>236</v>
      </c>
      <c r="E28">
        <v>253</v>
      </c>
      <c r="F28">
        <v>505</v>
      </c>
      <c r="G28">
        <v>773</v>
      </c>
      <c r="H28">
        <v>191</v>
      </c>
      <c r="I28">
        <v>106</v>
      </c>
      <c r="J28">
        <v>78</v>
      </c>
      <c r="K28">
        <v>2261</v>
      </c>
      <c r="L28" s="10">
        <f t="shared" si="2"/>
        <v>1007.3954002653693</v>
      </c>
      <c r="M28" s="10">
        <f t="shared" si="3"/>
        <v>3418.0925931003976</v>
      </c>
    </row>
    <row r="29" spans="1:13" hidden="1" x14ac:dyDescent="0.3">
      <c r="A29" t="s">
        <v>222</v>
      </c>
      <c r="B29">
        <v>0</v>
      </c>
      <c r="C29">
        <v>1</v>
      </c>
      <c r="D29">
        <v>1</v>
      </c>
      <c r="E29">
        <v>2</v>
      </c>
      <c r="F29">
        <v>16</v>
      </c>
      <c r="G29">
        <v>20</v>
      </c>
      <c r="H29">
        <v>3</v>
      </c>
      <c r="I29">
        <v>0</v>
      </c>
      <c r="J29">
        <v>1</v>
      </c>
      <c r="K29">
        <v>44</v>
      </c>
      <c r="L29" s="10">
        <f t="shared" si="2"/>
        <v>973.77840909090912</v>
      </c>
      <c r="M29" s="10">
        <f t="shared" si="3"/>
        <v>3304.0301420454543</v>
      </c>
    </row>
    <row r="30" spans="1:13" hidden="1" x14ac:dyDescent="0.3">
      <c r="A30" t="s">
        <v>114</v>
      </c>
      <c r="B30">
        <v>4</v>
      </c>
      <c r="C30">
        <v>112</v>
      </c>
      <c r="D30">
        <v>223</v>
      </c>
      <c r="E30">
        <v>219</v>
      </c>
      <c r="F30">
        <v>467</v>
      </c>
      <c r="G30">
        <v>579</v>
      </c>
      <c r="H30">
        <v>195</v>
      </c>
      <c r="I30">
        <v>77</v>
      </c>
      <c r="J30">
        <v>54</v>
      </c>
      <c r="K30">
        <v>1930</v>
      </c>
      <c r="L30" s="10">
        <f t="shared" si="2"/>
        <v>963.30906735751296</v>
      </c>
      <c r="M30" s="10">
        <f t="shared" si="3"/>
        <v>3268.5076655440412</v>
      </c>
    </row>
    <row r="31" spans="1:13" hidden="1" x14ac:dyDescent="0.3">
      <c r="A31" t="s">
        <v>13</v>
      </c>
      <c r="B31">
        <v>0</v>
      </c>
      <c r="C31">
        <v>11</v>
      </c>
      <c r="D31">
        <v>29</v>
      </c>
      <c r="E31">
        <v>22</v>
      </c>
      <c r="F31">
        <v>81</v>
      </c>
      <c r="G31">
        <v>87</v>
      </c>
      <c r="H31">
        <v>7</v>
      </c>
      <c r="I31">
        <v>8</v>
      </c>
      <c r="J31">
        <v>9</v>
      </c>
      <c r="K31">
        <v>254</v>
      </c>
      <c r="L31" s="10">
        <f t="shared" si="2"/>
        <v>912.98523622047242</v>
      </c>
      <c r="M31" s="10">
        <f t="shared" si="3"/>
        <v>3097.7589064960625</v>
      </c>
    </row>
    <row r="32" spans="1:13" hidden="1" x14ac:dyDescent="0.3">
      <c r="A32" t="s">
        <v>16</v>
      </c>
      <c r="B32">
        <v>0</v>
      </c>
      <c r="C32">
        <v>8</v>
      </c>
      <c r="D32">
        <v>12</v>
      </c>
      <c r="E32">
        <v>13</v>
      </c>
      <c r="F32">
        <v>37</v>
      </c>
      <c r="G32">
        <v>38</v>
      </c>
      <c r="H32">
        <v>6</v>
      </c>
      <c r="I32">
        <v>1</v>
      </c>
      <c r="J32">
        <v>5</v>
      </c>
      <c r="K32">
        <v>120</v>
      </c>
      <c r="L32" s="10">
        <f t="shared" si="2"/>
        <v>889.64166666666665</v>
      </c>
      <c r="M32" s="10">
        <f t="shared" si="3"/>
        <v>3018.5541749999998</v>
      </c>
    </row>
    <row r="33" spans="1:13" hidden="1" x14ac:dyDescent="0.3">
      <c r="A33" t="s">
        <v>135</v>
      </c>
      <c r="B33">
        <v>3</v>
      </c>
      <c r="C33">
        <v>257</v>
      </c>
      <c r="D33">
        <v>364</v>
      </c>
      <c r="E33">
        <v>402</v>
      </c>
      <c r="F33">
        <v>685</v>
      </c>
      <c r="G33">
        <v>789</v>
      </c>
      <c r="H33">
        <v>167</v>
      </c>
      <c r="I33">
        <v>107</v>
      </c>
      <c r="J33">
        <v>98</v>
      </c>
      <c r="K33">
        <v>2872</v>
      </c>
      <c r="L33" s="10">
        <f t="shared" si="2"/>
        <v>883.91756615598888</v>
      </c>
      <c r="M33" s="10">
        <f t="shared" si="3"/>
        <v>2999.13230196727</v>
      </c>
    </row>
    <row r="34" spans="1:13" hidden="1" x14ac:dyDescent="0.3">
      <c r="A34" t="s">
        <v>40</v>
      </c>
      <c r="B34">
        <v>0</v>
      </c>
      <c r="C34">
        <v>4</v>
      </c>
      <c r="D34">
        <v>14</v>
      </c>
      <c r="E34">
        <v>14</v>
      </c>
      <c r="F34">
        <v>53</v>
      </c>
      <c r="G34">
        <v>76</v>
      </c>
      <c r="H34">
        <v>7</v>
      </c>
      <c r="I34">
        <v>1</v>
      </c>
      <c r="J34">
        <v>1</v>
      </c>
      <c r="K34">
        <v>170</v>
      </c>
      <c r="L34" s="10">
        <f t="shared" si="2"/>
        <v>862.47647058823532</v>
      </c>
      <c r="M34" s="10">
        <f t="shared" si="3"/>
        <v>2926.3826647058822</v>
      </c>
    </row>
    <row r="35" spans="1:13" hidden="1" x14ac:dyDescent="0.3">
      <c r="A35" t="s">
        <v>127</v>
      </c>
      <c r="B35">
        <v>1</v>
      </c>
      <c r="C35">
        <v>148</v>
      </c>
      <c r="D35">
        <v>210</v>
      </c>
      <c r="E35">
        <v>264</v>
      </c>
      <c r="F35">
        <v>523</v>
      </c>
      <c r="G35">
        <v>589</v>
      </c>
      <c r="H35">
        <v>128</v>
      </c>
      <c r="I35">
        <v>67</v>
      </c>
      <c r="J35">
        <v>30</v>
      </c>
      <c r="K35">
        <v>1960</v>
      </c>
      <c r="L35" s="10">
        <f t="shared" si="2"/>
        <v>856.55892857142862</v>
      </c>
      <c r="M35" s="10">
        <f t="shared" si="3"/>
        <v>2906.3044446428571</v>
      </c>
    </row>
    <row r="36" spans="1:13" hidden="1" x14ac:dyDescent="0.3">
      <c r="A36" t="s">
        <v>147</v>
      </c>
      <c r="B36">
        <v>0</v>
      </c>
      <c r="C36">
        <v>48</v>
      </c>
      <c r="D36">
        <v>111</v>
      </c>
      <c r="E36">
        <v>120</v>
      </c>
      <c r="F36">
        <v>259</v>
      </c>
      <c r="G36">
        <v>378</v>
      </c>
      <c r="H36">
        <v>56</v>
      </c>
      <c r="I36">
        <v>18</v>
      </c>
      <c r="J36">
        <v>8</v>
      </c>
      <c r="K36">
        <v>998</v>
      </c>
      <c r="L36" s="10">
        <f t="shared" si="2"/>
        <v>845.55460921843689</v>
      </c>
      <c r="M36" s="10">
        <f t="shared" si="3"/>
        <v>2868.9667890781561</v>
      </c>
    </row>
    <row r="37" spans="1:13" hidden="1" x14ac:dyDescent="0.3">
      <c r="A37" t="s">
        <v>94</v>
      </c>
      <c r="B37">
        <v>1</v>
      </c>
      <c r="C37">
        <v>20</v>
      </c>
      <c r="D37">
        <v>32</v>
      </c>
      <c r="E37">
        <v>40</v>
      </c>
      <c r="F37">
        <v>85</v>
      </c>
      <c r="G37">
        <v>101</v>
      </c>
      <c r="H37">
        <v>20</v>
      </c>
      <c r="I37">
        <v>7</v>
      </c>
      <c r="J37">
        <v>4</v>
      </c>
      <c r="K37">
        <v>310</v>
      </c>
      <c r="L37" s="10">
        <f t="shared" ref="L37:L66" si="4">((B37*$B$1)+(C37*$C$1)+(D37*$D$1)+(E37*$E$1)+(F37*$F$1)+(G37*$G$1)+(H37*$H$1)+(I37*$I$1)+(J37*$J$1))/K37</f>
        <v>844.25967741935483</v>
      </c>
      <c r="M37" s="10">
        <f t="shared" ref="M37:M66" si="5">L37*3.393</f>
        <v>2864.5730854838707</v>
      </c>
    </row>
    <row r="38" spans="1:13" hidden="1" x14ac:dyDescent="0.3">
      <c r="A38" t="s">
        <v>105</v>
      </c>
      <c r="B38">
        <v>0</v>
      </c>
      <c r="C38">
        <v>24</v>
      </c>
      <c r="D38">
        <v>49</v>
      </c>
      <c r="E38">
        <v>58</v>
      </c>
      <c r="F38">
        <v>141</v>
      </c>
      <c r="G38">
        <v>153</v>
      </c>
      <c r="H38">
        <v>25</v>
      </c>
      <c r="I38">
        <v>10</v>
      </c>
      <c r="J38">
        <v>7</v>
      </c>
      <c r="K38">
        <v>467</v>
      </c>
      <c r="L38" s="10">
        <f t="shared" si="4"/>
        <v>844.08029978586728</v>
      </c>
      <c r="M38" s="10">
        <f t="shared" si="5"/>
        <v>2863.9644571734475</v>
      </c>
    </row>
    <row r="39" spans="1:13" hidden="1" x14ac:dyDescent="0.3">
      <c r="A39" t="s">
        <v>60</v>
      </c>
      <c r="B39">
        <v>1</v>
      </c>
      <c r="C39">
        <v>13</v>
      </c>
      <c r="D39">
        <v>19</v>
      </c>
      <c r="E39">
        <v>20</v>
      </c>
      <c r="F39">
        <v>32</v>
      </c>
      <c r="G39">
        <v>28</v>
      </c>
      <c r="H39">
        <v>6</v>
      </c>
      <c r="I39">
        <v>3</v>
      </c>
      <c r="J39">
        <v>6</v>
      </c>
      <c r="K39">
        <v>128</v>
      </c>
      <c r="L39" s="10">
        <f t="shared" si="4"/>
        <v>830.498046875</v>
      </c>
      <c r="M39" s="10">
        <f t="shared" si="5"/>
        <v>2817.8798730468748</v>
      </c>
    </row>
    <row r="40" spans="1:13" hidden="1" x14ac:dyDescent="0.3">
      <c r="A40" t="s">
        <v>125</v>
      </c>
      <c r="B40">
        <v>5</v>
      </c>
      <c r="C40">
        <v>72</v>
      </c>
      <c r="D40">
        <v>165</v>
      </c>
      <c r="E40">
        <v>140</v>
      </c>
      <c r="F40">
        <v>196</v>
      </c>
      <c r="G40">
        <v>164</v>
      </c>
      <c r="H40">
        <v>36</v>
      </c>
      <c r="I40">
        <v>20</v>
      </c>
      <c r="J40">
        <v>45</v>
      </c>
      <c r="K40">
        <v>843</v>
      </c>
      <c r="L40" s="10">
        <f t="shared" si="4"/>
        <v>822.48279952550411</v>
      </c>
      <c r="M40" s="10">
        <f t="shared" si="5"/>
        <v>2790.6841387900354</v>
      </c>
    </row>
    <row r="41" spans="1:13" hidden="1" x14ac:dyDescent="0.3">
      <c r="A41" t="s">
        <v>140</v>
      </c>
      <c r="B41">
        <v>2</v>
      </c>
      <c r="C41">
        <v>46</v>
      </c>
      <c r="D41">
        <v>112</v>
      </c>
      <c r="E41">
        <v>145</v>
      </c>
      <c r="F41">
        <v>245</v>
      </c>
      <c r="G41">
        <v>293</v>
      </c>
      <c r="H41">
        <v>48</v>
      </c>
      <c r="I41">
        <v>21</v>
      </c>
      <c r="J41">
        <v>12</v>
      </c>
      <c r="K41">
        <v>924</v>
      </c>
      <c r="L41" s="10">
        <f t="shared" si="4"/>
        <v>818.81493506493507</v>
      </c>
      <c r="M41" s="10">
        <f t="shared" si="5"/>
        <v>2778.2390746753244</v>
      </c>
    </row>
    <row r="42" spans="1:13" hidden="1" x14ac:dyDescent="0.3">
      <c r="A42" t="s">
        <v>132</v>
      </c>
      <c r="B42">
        <v>0</v>
      </c>
      <c r="C42">
        <v>24</v>
      </c>
      <c r="D42">
        <v>69</v>
      </c>
      <c r="E42">
        <v>68</v>
      </c>
      <c r="F42">
        <v>135</v>
      </c>
      <c r="G42">
        <v>122</v>
      </c>
      <c r="H42">
        <v>24</v>
      </c>
      <c r="I42">
        <v>15</v>
      </c>
      <c r="J42">
        <v>5</v>
      </c>
      <c r="K42">
        <v>462</v>
      </c>
      <c r="L42" s="10">
        <f t="shared" si="4"/>
        <v>795.52813852813858</v>
      </c>
      <c r="M42" s="10">
        <f t="shared" si="5"/>
        <v>2699.226974025974</v>
      </c>
    </row>
    <row r="43" spans="1:13" hidden="1" x14ac:dyDescent="0.3">
      <c r="A43" t="s">
        <v>129</v>
      </c>
      <c r="B43">
        <v>3</v>
      </c>
      <c r="C43">
        <v>41</v>
      </c>
      <c r="D43">
        <v>91</v>
      </c>
      <c r="E43">
        <v>107</v>
      </c>
      <c r="F43">
        <v>209</v>
      </c>
      <c r="G43">
        <v>232</v>
      </c>
      <c r="H43">
        <v>41</v>
      </c>
      <c r="I43">
        <v>10</v>
      </c>
      <c r="J43">
        <v>5</v>
      </c>
      <c r="K43">
        <v>739</v>
      </c>
      <c r="L43" s="10">
        <f t="shared" si="4"/>
        <v>781.35757780784843</v>
      </c>
      <c r="M43" s="10">
        <f t="shared" si="5"/>
        <v>2651.1462615020296</v>
      </c>
    </row>
    <row r="44" spans="1:13" hidden="1" x14ac:dyDescent="0.3">
      <c r="A44" t="s">
        <v>108</v>
      </c>
      <c r="B44">
        <v>10</v>
      </c>
      <c r="C44">
        <v>213</v>
      </c>
      <c r="D44">
        <v>469</v>
      </c>
      <c r="E44">
        <v>534</v>
      </c>
      <c r="F44">
        <v>907</v>
      </c>
      <c r="G44">
        <v>874</v>
      </c>
      <c r="H44">
        <v>151</v>
      </c>
      <c r="I44">
        <v>51</v>
      </c>
      <c r="J44">
        <v>44</v>
      </c>
      <c r="K44">
        <v>3253</v>
      </c>
      <c r="L44" s="10">
        <f t="shared" si="4"/>
        <v>754.9412081155856</v>
      </c>
      <c r="M44" s="10">
        <f t="shared" si="5"/>
        <v>2561.5155191361819</v>
      </c>
    </row>
    <row r="45" spans="1:13" hidden="1" x14ac:dyDescent="0.3">
      <c r="A45" t="s">
        <v>57</v>
      </c>
      <c r="B45">
        <v>0</v>
      </c>
      <c r="C45">
        <v>11</v>
      </c>
      <c r="D45">
        <v>8</v>
      </c>
      <c r="E45">
        <v>10</v>
      </c>
      <c r="F45">
        <v>18</v>
      </c>
      <c r="G45">
        <v>12</v>
      </c>
      <c r="H45">
        <v>3</v>
      </c>
      <c r="I45">
        <v>2</v>
      </c>
      <c r="J45">
        <v>2</v>
      </c>
      <c r="K45">
        <v>66</v>
      </c>
      <c r="L45" s="10">
        <f t="shared" si="4"/>
        <v>754.42803030303025</v>
      </c>
      <c r="M45" s="10">
        <f t="shared" si="5"/>
        <v>2559.7743068181817</v>
      </c>
    </row>
    <row r="46" spans="1:13" hidden="1" x14ac:dyDescent="0.3">
      <c r="A46" t="s">
        <v>116</v>
      </c>
      <c r="B46">
        <v>12</v>
      </c>
      <c r="C46">
        <v>291</v>
      </c>
      <c r="D46">
        <v>496</v>
      </c>
      <c r="E46">
        <v>563</v>
      </c>
      <c r="F46">
        <v>804</v>
      </c>
      <c r="G46">
        <v>780</v>
      </c>
      <c r="H46">
        <v>153</v>
      </c>
      <c r="I46">
        <v>63</v>
      </c>
      <c r="J46">
        <v>60</v>
      </c>
      <c r="K46">
        <v>3222</v>
      </c>
      <c r="L46" s="10">
        <f t="shared" si="4"/>
        <v>747.67636561142149</v>
      </c>
      <c r="M46" s="10">
        <f t="shared" si="5"/>
        <v>2536.8659085195532</v>
      </c>
    </row>
    <row r="47" spans="1:13" hidden="1" x14ac:dyDescent="0.3">
      <c r="A47" t="s">
        <v>155</v>
      </c>
      <c r="B47">
        <v>5</v>
      </c>
      <c r="C47">
        <v>234</v>
      </c>
      <c r="D47">
        <v>473</v>
      </c>
      <c r="E47">
        <v>431</v>
      </c>
      <c r="F47">
        <v>861</v>
      </c>
      <c r="G47">
        <v>812</v>
      </c>
      <c r="H47">
        <v>125</v>
      </c>
      <c r="I47">
        <v>57</v>
      </c>
      <c r="J47">
        <v>38</v>
      </c>
      <c r="K47">
        <v>3036</v>
      </c>
      <c r="L47" s="10">
        <f t="shared" si="4"/>
        <v>746.4324769433465</v>
      </c>
      <c r="M47" s="10">
        <f t="shared" si="5"/>
        <v>2532.6453942687745</v>
      </c>
    </row>
    <row r="48" spans="1:13" hidden="1" x14ac:dyDescent="0.3">
      <c r="A48" t="s">
        <v>19</v>
      </c>
      <c r="B48">
        <v>1</v>
      </c>
      <c r="C48">
        <v>41</v>
      </c>
      <c r="D48">
        <v>81</v>
      </c>
      <c r="E48">
        <v>103</v>
      </c>
      <c r="F48">
        <v>198</v>
      </c>
      <c r="G48">
        <v>191</v>
      </c>
      <c r="H48">
        <v>17</v>
      </c>
      <c r="I48">
        <v>11</v>
      </c>
      <c r="J48">
        <v>6</v>
      </c>
      <c r="K48">
        <v>649</v>
      </c>
      <c r="L48" s="10">
        <f t="shared" si="4"/>
        <v>742.08667180277348</v>
      </c>
      <c r="M48" s="10">
        <f t="shared" si="5"/>
        <v>2517.9000774268102</v>
      </c>
    </row>
    <row r="49" spans="1:13" hidden="1" x14ac:dyDescent="0.3">
      <c r="A49" t="s">
        <v>167</v>
      </c>
      <c r="B49">
        <v>10</v>
      </c>
      <c r="C49">
        <v>193</v>
      </c>
      <c r="D49">
        <v>398</v>
      </c>
      <c r="E49">
        <v>373</v>
      </c>
      <c r="F49">
        <v>515</v>
      </c>
      <c r="G49">
        <v>580</v>
      </c>
      <c r="H49">
        <v>113</v>
      </c>
      <c r="I49">
        <v>50</v>
      </c>
      <c r="J49">
        <v>23</v>
      </c>
      <c r="K49">
        <v>2255</v>
      </c>
      <c r="L49" s="10">
        <f t="shared" si="4"/>
        <v>733.18592017738354</v>
      </c>
      <c r="M49" s="10">
        <f t="shared" si="5"/>
        <v>2487.6998271618622</v>
      </c>
    </row>
    <row r="50" spans="1:13" hidden="1" x14ac:dyDescent="0.3">
      <c r="A50" t="s">
        <v>159</v>
      </c>
      <c r="B50" s="5">
        <v>4</v>
      </c>
      <c r="C50" s="5">
        <v>61</v>
      </c>
      <c r="D50" s="5">
        <v>191</v>
      </c>
      <c r="E50" s="5">
        <v>284</v>
      </c>
      <c r="F50" s="5">
        <v>541</v>
      </c>
      <c r="G50" s="5">
        <v>496</v>
      </c>
      <c r="H50" s="5">
        <v>43</v>
      </c>
      <c r="I50" s="5">
        <v>13</v>
      </c>
      <c r="J50" s="5">
        <v>8</v>
      </c>
      <c r="K50">
        <v>1641</v>
      </c>
      <c r="L50" s="10">
        <f t="shared" si="4"/>
        <v>726.22105423522248</v>
      </c>
      <c r="M50" s="10">
        <f t="shared" si="5"/>
        <v>2464.0680370201098</v>
      </c>
    </row>
    <row r="51" spans="1:13" hidden="1" x14ac:dyDescent="0.3">
      <c r="A51" t="s">
        <v>88</v>
      </c>
      <c r="B51">
        <v>0</v>
      </c>
      <c r="C51">
        <v>9</v>
      </c>
      <c r="D51">
        <v>22</v>
      </c>
      <c r="E51">
        <v>30</v>
      </c>
      <c r="F51">
        <v>50</v>
      </c>
      <c r="G51">
        <v>32</v>
      </c>
      <c r="H51">
        <v>3</v>
      </c>
      <c r="I51">
        <v>2</v>
      </c>
      <c r="J51">
        <v>4</v>
      </c>
      <c r="K51">
        <v>152</v>
      </c>
      <c r="L51" s="10">
        <f t="shared" si="4"/>
        <v>722.46546052631584</v>
      </c>
      <c r="M51" s="10">
        <f t="shared" si="5"/>
        <v>2451.3253075657894</v>
      </c>
    </row>
    <row r="52" spans="1:13" hidden="1" x14ac:dyDescent="0.3">
      <c r="A52" t="s">
        <v>102</v>
      </c>
      <c r="B52">
        <v>0</v>
      </c>
      <c r="C52">
        <v>66</v>
      </c>
      <c r="D52">
        <v>116</v>
      </c>
      <c r="E52">
        <v>158</v>
      </c>
      <c r="F52">
        <v>304</v>
      </c>
      <c r="G52">
        <v>259</v>
      </c>
      <c r="H52">
        <v>39</v>
      </c>
      <c r="I52">
        <v>11</v>
      </c>
      <c r="J52">
        <v>4</v>
      </c>
      <c r="K52">
        <v>957</v>
      </c>
      <c r="L52" s="10">
        <f t="shared" si="4"/>
        <v>719.02507836990594</v>
      </c>
      <c r="M52" s="10">
        <f t="shared" si="5"/>
        <v>2439.6520909090909</v>
      </c>
    </row>
    <row r="53" spans="1:13" hidden="1" x14ac:dyDescent="0.3">
      <c r="A53" t="s">
        <v>138</v>
      </c>
      <c r="B53">
        <v>1</v>
      </c>
      <c r="C53">
        <v>38</v>
      </c>
      <c r="D53">
        <v>60</v>
      </c>
      <c r="E53">
        <v>57</v>
      </c>
      <c r="F53">
        <v>108</v>
      </c>
      <c r="G53">
        <v>81</v>
      </c>
      <c r="H53">
        <v>8</v>
      </c>
      <c r="I53">
        <v>6</v>
      </c>
      <c r="J53">
        <v>7</v>
      </c>
      <c r="K53">
        <v>366</v>
      </c>
      <c r="L53" s="10">
        <f t="shared" si="4"/>
        <v>693.42349726775956</v>
      </c>
      <c r="M53" s="10">
        <f t="shared" si="5"/>
        <v>2352.7859262295078</v>
      </c>
    </row>
    <row r="54" spans="1:13" hidden="1" x14ac:dyDescent="0.3">
      <c r="A54" t="s">
        <v>161</v>
      </c>
      <c r="B54">
        <v>3</v>
      </c>
      <c r="C54">
        <v>109</v>
      </c>
      <c r="D54">
        <v>287</v>
      </c>
      <c r="E54">
        <v>354</v>
      </c>
      <c r="F54">
        <v>632</v>
      </c>
      <c r="G54">
        <v>533</v>
      </c>
      <c r="H54">
        <v>53</v>
      </c>
      <c r="I54">
        <v>11</v>
      </c>
      <c r="J54">
        <v>8</v>
      </c>
      <c r="K54">
        <v>1990</v>
      </c>
      <c r="L54" s="10">
        <f t="shared" si="4"/>
        <v>681.28278894472362</v>
      </c>
      <c r="M54" s="10">
        <f t="shared" si="5"/>
        <v>2311.5925028894471</v>
      </c>
    </row>
    <row r="55" spans="1:13" hidden="1" x14ac:dyDescent="0.3">
      <c r="A55" t="s">
        <v>157</v>
      </c>
      <c r="B55">
        <v>0</v>
      </c>
      <c r="C55">
        <v>34</v>
      </c>
      <c r="D55">
        <v>44</v>
      </c>
      <c r="E55">
        <v>48</v>
      </c>
      <c r="F55">
        <v>102</v>
      </c>
      <c r="G55">
        <v>89</v>
      </c>
      <c r="H55">
        <v>10</v>
      </c>
      <c r="I55">
        <v>4</v>
      </c>
      <c r="J55">
        <v>0</v>
      </c>
      <c r="K55">
        <v>331</v>
      </c>
      <c r="L55" s="10">
        <f t="shared" si="4"/>
        <v>676.07854984894254</v>
      </c>
      <c r="M55" s="10">
        <f t="shared" si="5"/>
        <v>2293.934519637462</v>
      </c>
    </row>
    <row r="56" spans="1:13" hidden="1" x14ac:dyDescent="0.3">
      <c r="A56" t="s">
        <v>111</v>
      </c>
      <c r="B56">
        <v>0</v>
      </c>
      <c r="C56">
        <v>5</v>
      </c>
      <c r="D56">
        <v>10</v>
      </c>
      <c r="E56">
        <v>15</v>
      </c>
      <c r="F56">
        <v>23</v>
      </c>
      <c r="G56">
        <v>17</v>
      </c>
      <c r="H56">
        <v>3</v>
      </c>
      <c r="I56">
        <v>1</v>
      </c>
      <c r="J56">
        <v>0</v>
      </c>
      <c r="K56">
        <v>74</v>
      </c>
      <c r="L56" s="10">
        <f t="shared" si="4"/>
        <v>674.90878378378375</v>
      </c>
      <c r="M56" s="10">
        <f t="shared" si="5"/>
        <v>2289.9655033783779</v>
      </c>
    </row>
    <row r="57" spans="1:13" hidden="1" x14ac:dyDescent="0.3">
      <c r="A57" t="s">
        <v>119</v>
      </c>
      <c r="B57">
        <v>6</v>
      </c>
      <c r="C57">
        <v>114</v>
      </c>
      <c r="D57">
        <v>240</v>
      </c>
      <c r="E57">
        <v>331</v>
      </c>
      <c r="F57">
        <v>554</v>
      </c>
      <c r="G57">
        <v>440</v>
      </c>
      <c r="H57">
        <v>36</v>
      </c>
      <c r="I57">
        <v>15</v>
      </c>
      <c r="J57">
        <v>12</v>
      </c>
      <c r="K57">
        <v>1748</v>
      </c>
      <c r="L57" s="10">
        <f t="shared" si="4"/>
        <v>674.05692219679634</v>
      </c>
      <c r="M57" s="10">
        <f t="shared" si="5"/>
        <v>2287.07513701373</v>
      </c>
    </row>
    <row r="58" spans="1:13" hidden="1" x14ac:dyDescent="0.3">
      <c r="A58" t="s">
        <v>179</v>
      </c>
      <c r="B58">
        <v>6</v>
      </c>
      <c r="C58">
        <v>77</v>
      </c>
      <c r="D58">
        <v>201</v>
      </c>
      <c r="E58">
        <v>237</v>
      </c>
      <c r="F58">
        <v>345</v>
      </c>
      <c r="G58">
        <v>303</v>
      </c>
      <c r="H58">
        <v>33</v>
      </c>
      <c r="I58">
        <v>12</v>
      </c>
      <c r="J58">
        <v>1</v>
      </c>
      <c r="K58">
        <v>1215</v>
      </c>
      <c r="L58" s="10">
        <f t="shared" si="4"/>
        <v>652.87181069958842</v>
      </c>
      <c r="M58" s="10">
        <f t="shared" si="5"/>
        <v>2215.1940537037035</v>
      </c>
    </row>
    <row r="59" spans="1:13" hidden="1" x14ac:dyDescent="0.3">
      <c r="A59" t="s">
        <v>145</v>
      </c>
      <c r="B59">
        <v>1</v>
      </c>
      <c r="C59">
        <v>119</v>
      </c>
      <c r="D59">
        <v>167</v>
      </c>
      <c r="E59">
        <v>186</v>
      </c>
      <c r="F59">
        <v>304</v>
      </c>
      <c r="G59">
        <v>214</v>
      </c>
      <c r="H59">
        <v>24</v>
      </c>
      <c r="I59">
        <v>13</v>
      </c>
      <c r="J59">
        <v>4</v>
      </c>
      <c r="K59">
        <v>1032</v>
      </c>
      <c r="L59" s="10">
        <f t="shared" si="4"/>
        <v>622.36264534883719</v>
      </c>
      <c r="M59" s="10">
        <f t="shared" si="5"/>
        <v>2111.6764556686044</v>
      </c>
    </row>
    <row r="60" spans="1:13" hidden="1" x14ac:dyDescent="0.3">
      <c r="A60" t="s">
        <v>170</v>
      </c>
      <c r="B60">
        <v>8</v>
      </c>
      <c r="C60">
        <v>253</v>
      </c>
      <c r="D60">
        <v>494</v>
      </c>
      <c r="E60">
        <v>478</v>
      </c>
      <c r="F60">
        <v>799</v>
      </c>
      <c r="G60">
        <v>541</v>
      </c>
      <c r="H60">
        <v>44</v>
      </c>
      <c r="I60">
        <v>19</v>
      </c>
      <c r="J60">
        <v>6</v>
      </c>
      <c r="K60">
        <v>2642</v>
      </c>
      <c r="L60" s="10">
        <f t="shared" si="4"/>
        <v>595.18328917486747</v>
      </c>
      <c r="M60" s="10">
        <f t="shared" si="5"/>
        <v>2019.4569001703253</v>
      </c>
    </row>
    <row r="61" spans="1:13" hidden="1" x14ac:dyDescent="0.3">
      <c r="A61" t="s">
        <v>176</v>
      </c>
      <c r="B61">
        <v>5</v>
      </c>
      <c r="C61">
        <v>142</v>
      </c>
      <c r="D61">
        <v>220</v>
      </c>
      <c r="E61">
        <v>227</v>
      </c>
      <c r="F61">
        <v>279</v>
      </c>
      <c r="G61">
        <v>204</v>
      </c>
      <c r="H61">
        <v>18</v>
      </c>
      <c r="I61">
        <v>10</v>
      </c>
      <c r="J61">
        <v>4</v>
      </c>
      <c r="K61">
        <v>1109</v>
      </c>
      <c r="L61" s="10">
        <f t="shared" si="4"/>
        <v>565.22768259693419</v>
      </c>
      <c r="M61" s="10">
        <f t="shared" si="5"/>
        <v>1917.8175270513975</v>
      </c>
    </row>
    <row r="62" spans="1:13" hidden="1" x14ac:dyDescent="0.3">
      <c r="A62" t="s">
        <v>173</v>
      </c>
      <c r="B62">
        <v>15</v>
      </c>
      <c r="C62">
        <v>361</v>
      </c>
      <c r="D62">
        <v>845</v>
      </c>
      <c r="E62">
        <v>747</v>
      </c>
      <c r="F62">
        <v>864</v>
      </c>
      <c r="G62">
        <v>600</v>
      </c>
      <c r="H62">
        <v>58</v>
      </c>
      <c r="I62">
        <v>13</v>
      </c>
      <c r="J62">
        <v>6</v>
      </c>
      <c r="K62">
        <v>3509</v>
      </c>
      <c r="L62" s="10">
        <f t="shared" si="4"/>
        <v>536.5244371615845</v>
      </c>
      <c r="M62" s="10">
        <f t="shared" si="5"/>
        <v>1820.427415289256</v>
      </c>
    </row>
    <row r="63" spans="1:13" hidden="1" x14ac:dyDescent="0.3">
      <c r="A63" t="s">
        <v>185</v>
      </c>
      <c r="B63">
        <v>6</v>
      </c>
      <c r="C63">
        <v>112</v>
      </c>
      <c r="D63">
        <v>290</v>
      </c>
      <c r="E63">
        <v>300</v>
      </c>
      <c r="F63">
        <v>402</v>
      </c>
      <c r="G63">
        <v>193</v>
      </c>
      <c r="H63">
        <v>15</v>
      </c>
      <c r="I63">
        <v>3</v>
      </c>
      <c r="J63">
        <v>1</v>
      </c>
      <c r="K63">
        <v>1322</v>
      </c>
      <c r="L63" s="10">
        <f t="shared" si="4"/>
        <v>524.38691376701968</v>
      </c>
      <c r="M63" s="10">
        <f t="shared" si="5"/>
        <v>1779.2447984114976</v>
      </c>
    </row>
    <row r="64" spans="1:13" hidden="1" x14ac:dyDescent="0.3">
      <c r="A64" t="s">
        <v>188</v>
      </c>
      <c r="B64">
        <v>11</v>
      </c>
      <c r="C64">
        <v>212</v>
      </c>
      <c r="D64">
        <v>537</v>
      </c>
      <c r="E64">
        <v>519</v>
      </c>
      <c r="F64">
        <v>592</v>
      </c>
      <c r="G64">
        <v>297</v>
      </c>
      <c r="H64">
        <v>22</v>
      </c>
      <c r="I64">
        <v>5</v>
      </c>
      <c r="J64">
        <v>1</v>
      </c>
      <c r="K64">
        <v>2196</v>
      </c>
      <c r="L64" s="10">
        <f t="shared" si="4"/>
        <v>498.36407103825138</v>
      </c>
      <c r="M64" s="10">
        <f t="shared" si="5"/>
        <v>1690.9492930327867</v>
      </c>
    </row>
    <row r="65" spans="1:13" hidden="1" x14ac:dyDescent="0.3">
      <c r="A65" t="s">
        <v>182</v>
      </c>
      <c r="B65">
        <v>8</v>
      </c>
      <c r="C65">
        <v>206</v>
      </c>
      <c r="D65">
        <v>398</v>
      </c>
      <c r="E65">
        <v>333</v>
      </c>
      <c r="F65">
        <v>336</v>
      </c>
      <c r="G65">
        <v>135</v>
      </c>
      <c r="H65">
        <v>11</v>
      </c>
      <c r="I65">
        <v>7</v>
      </c>
      <c r="J65">
        <v>5</v>
      </c>
      <c r="K65">
        <v>1439</v>
      </c>
      <c r="L65" s="10">
        <f t="shared" si="4"/>
        <v>454.10041695621959</v>
      </c>
      <c r="M65" s="10">
        <f t="shared" si="5"/>
        <v>1540.7627147324529</v>
      </c>
    </row>
    <row r="66" spans="1:13" hidden="1" x14ac:dyDescent="0.3">
      <c r="A66" t="s">
        <v>149</v>
      </c>
      <c r="B66">
        <v>13</v>
      </c>
      <c r="C66">
        <v>87</v>
      </c>
      <c r="D66">
        <v>216</v>
      </c>
      <c r="E66">
        <v>142</v>
      </c>
      <c r="F66">
        <v>147</v>
      </c>
      <c r="G66">
        <v>61</v>
      </c>
      <c r="H66">
        <v>8</v>
      </c>
      <c r="I66">
        <v>2</v>
      </c>
      <c r="J66">
        <v>2</v>
      </c>
      <c r="K66">
        <v>678</v>
      </c>
      <c r="L66" s="10">
        <f t="shared" si="4"/>
        <v>440.52323008849555</v>
      </c>
      <c r="M66" s="10">
        <f t="shared" si="5"/>
        <v>1494.6953196902653</v>
      </c>
    </row>
  </sheetData>
  <autoFilter ref="A4:M66" xr:uid="{FFAAF8AE-C390-4673-805B-619F75AC8F8F}">
    <filterColumn colId="0">
      <filters>
        <filter val="Jardim Caxambú"/>
      </filters>
    </filterColumn>
    <sortState xmlns:xlrd2="http://schemas.microsoft.com/office/spreadsheetml/2017/richdata2" ref="A5:M66">
      <sortCondition descending="1" ref="M4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DA30-03DE-4E58-9AD1-D02D5413FE09}">
  <dimension ref="A1:F68"/>
  <sheetViews>
    <sheetView tabSelected="1" workbookViewId="0">
      <selection activeCell="A18" sqref="A18:D18"/>
    </sheetView>
  </sheetViews>
  <sheetFormatPr defaultRowHeight="14.4" x14ac:dyDescent="0.3"/>
  <cols>
    <col min="1" max="1" width="25.44140625" bestFit="1" customWidth="1"/>
    <col min="2" max="3" width="11.88671875" style="1" bestFit="1" customWidth="1"/>
    <col min="4" max="4" width="12.88671875" style="1" bestFit="1" customWidth="1"/>
    <col min="5" max="5" width="15.5546875" style="14" bestFit="1" customWidth="1"/>
    <col min="6" max="6" width="15.5546875" bestFit="1" customWidth="1"/>
  </cols>
  <sheetData>
    <row r="1" spans="1:6" x14ac:dyDescent="0.3">
      <c r="B1" s="13">
        <v>2000</v>
      </c>
      <c r="C1" s="13">
        <v>2010</v>
      </c>
      <c r="D1" s="13">
        <v>2022</v>
      </c>
      <c r="E1" s="15" t="s">
        <v>287</v>
      </c>
      <c r="F1" s="15" t="s">
        <v>288</v>
      </c>
    </row>
    <row r="2" spans="1:6" x14ac:dyDescent="0.3">
      <c r="A2" t="s">
        <v>10</v>
      </c>
      <c r="B2" s="1">
        <f>VLOOKUP(A2,Censo_2000!A:L,12,FALSE)</f>
        <v>1351.7059322033899</v>
      </c>
      <c r="C2" s="1">
        <f>VLOOKUP(A2,'2010_consolidado'!A:D,4,FALSE)</f>
        <v>3195.3809523809523</v>
      </c>
      <c r="D2" s="1">
        <f>VLOOKUP(A2,Censo_2022!C:G,5,FALSE)</f>
        <v>17049.62</v>
      </c>
      <c r="E2" s="14">
        <f>(C2-B2)/B2</f>
        <v>1.363961625271721</v>
      </c>
      <c r="F2" s="14">
        <f>(D2-C2)/C2</f>
        <v>4.3357080905473673</v>
      </c>
    </row>
    <row r="3" spans="1:6" x14ac:dyDescent="0.3">
      <c r="A3" t="s">
        <v>13</v>
      </c>
      <c r="B3" s="1">
        <f>VLOOKUP(A3,Censo_2000!A:L,12,FALSE)</f>
        <v>912.98523622047242</v>
      </c>
      <c r="C3" s="1">
        <f>VLOOKUP(A3,'2010_consolidado'!A:D,4,FALSE)</f>
        <v>9358.1109890109892</v>
      </c>
      <c r="D3" s="1">
        <f>VLOOKUP(A3,Censo_2022!C:G,5,FALSE)</f>
        <v>14384.62</v>
      </c>
      <c r="E3" s="14">
        <f>(C3-B3)/B3</f>
        <v>9.2500134917309254</v>
      </c>
      <c r="F3" s="14">
        <f>(D3-C3)/C3</f>
        <v>0.53712859538549218</v>
      </c>
    </row>
    <row r="4" spans="1:6" x14ac:dyDescent="0.3">
      <c r="A4" t="s">
        <v>16</v>
      </c>
      <c r="B4" s="1">
        <f>VLOOKUP(A4,Censo_2000!A:L,12,FALSE)</f>
        <v>889.64166666666665</v>
      </c>
      <c r="C4" s="1">
        <f>VLOOKUP(A4,'2010_consolidado'!A:D,4,FALSE)</f>
        <v>5492.0465116279074</v>
      </c>
      <c r="D4" s="1">
        <f>VLOOKUP(A4,Censo_2022!C:G,5,FALSE)</f>
        <v>12007.46</v>
      </c>
      <c r="E4" s="14">
        <f>(C4-B4)/B4</f>
        <v>5.173324291571971</v>
      </c>
      <c r="F4" s="14">
        <f>(D4-C4)/C4</f>
        <v>1.1863361817088556</v>
      </c>
    </row>
    <row r="5" spans="1:6" x14ac:dyDescent="0.3">
      <c r="A5" t="s">
        <v>19</v>
      </c>
      <c r="B5" s="1">
        <f>VLOOKUP(A5,Censo_2000!A:L,12,FALSE)</f>
        <v>742.08667180277348</v>
      </c>
      <c r="C5" s="1">
        <f>VLOOKUP(A5,'2010_consolidado'!A:D,4,FALSE)</f>
        <v>2477.1262135922329</v>
      </c>
      <c r="D5" s="1">
        <f>VLOOKUP(A5,Censo_2022!C:G,5,FALSE)</f>
        <v>8287.93</v>
      </c>
      <c r="E5" s="14">
        <f>(C5-B5)/B5</f>
        <v>2.3380551190529748</v>
      </c>
      <c r="F5" s="14">
        <f>(D5-C5)/C5</f>
        <v>2.3457843021979743</v>
      </c>
    </row>
    <row r="6" spans="1:6" x14ac:dyDescent="0.3">
      <c r="A6" t="s">
        <v>22</v>
      </c>
      <c r="B6" s="1">
        <f>VLOOKUP(A6,Censo_2000!A:L,12,FALSE)</f>
        <v>2442.1479357798166</v>
      </c>
      <c r="C6" s="1">
        <f>VLOOKUP(A6,'2010_consolidado'!A:D,4,FALSE)</f>
        <v>7965.0364963503653</v>
      </c>
      <c r="D6" s="1">
        <f>VLOOKUP(A6,Censo_2022!C:G,5,FALSE)</f>
        <v>8248.31</v>
      </c>
      <c r="E6" s="14">
        <f>(C6-B6)/B6</f>
        <v>2.2614881267653439</v>
      </c>
      <c r="F6" s="14">
        <f>(D6-C6)/C6</f>
        <v>3.5564620925394641E-2</v>
      </c>
    </row>
    <row r="7" spans="1:6" x14ac:dyDescent="0.3">
      <c r="A7" t="s">
        <v>25</v>
      </c>
      <c r="B7" s="1">
        <f>VLOOKUP(A7,Censo_2000!A:L,12,FALSE)</f>
        <v>2022.2701231060605</v>
      </c>
      <c r="C7" s="1">
        <f>VLOOKUP(A7,'2010_consolidado'!A:D,4,FALSE)</f>
        <v>6602.2909535452327</v>
      </c>
      <c r="D7" s="1">
        <f>VLOOKUP(A7,Censo_2022!C:G,5,FALSE)</f>
        <v>8008.18</v>
      </c>
      <c r="E7" s="14">
        <f>(C7-B7)/B7</f>
        <v>2.2647918189112106</v>
      </c>
      <c r="F7" s="14">
        <f>(D7-C7)/C7</f>
        <v>0.21293957754161791</v>
      </c>
    </row>
    <row r="8" spans="1:6" x14ac:dyDescent="0.3">
      <c r="A8" t="s">
        <v>28</v>
      </c>
      <c r="B8" s="1">
        <f>VLOOKUP(A8,Censo_2000!A:L,12,FALSE)</f>
        <v>1773.3736836449602</v>
      </c>
      <c r="C8" s="1">
        <f>VLOOKUP(A8,'2010_consolidado'!A:D,4,FALSE)</f>
        <v>5179.5125609298839</v>
      </c>
      <c r="D8" s="1">
        <f>VLOOKUP(A8,Censo_2022!C:G,5,FALSE)</f>
        <v>7281.06</v>
      </c>
      <c r="E8" s="14">
        <f>(C8-B8)/B8</f>
        <v>1.9207113022473681</v>
      </c>
      <c r="F8" s="14">
        <f>(D8-C8)/C8</f>
        <v>0.40574231925268722</v>
      </c>
    </row>
    <row r="9" spans="1:6" x14ac:dyDescent="0.3">
      <c r="A9" t="s">
        <v>31</v>
      </c>
      <c r="B9" s="1">
        <f>VLOOKUP(A9,Censo_2000!A:L,12,FALSE)</f>
        <v>1972.1068059299191</v>
      </c>
      <c r="C9" s="1">
        <f>VLOOKUP(A9,'2010_consolidado'!A:D,4,FALSE)</f>
        <v>4427.4811165845649</v>
      </c>
      <c r="D9" s="1">
        <f>VLOOKUP(A9,Censo_2022!C:G,5,FALSE)</f>
        <v>7081.17</v>
      </c>
      <c r="E9" s="14">
        <f>(C9-B9)/B9</f>
        <v>1.2450513852858232</v>
      </c>
      <c r="F9" s="14">
        <f>(D9-C9)/C9</f>
        <v>0.59936763444911911</v>
      </c>
    </row>
    <row r="10" spans="1:6" x14ac:dyDescent="0.3">
      <c r="A10" t="s">
        <v>34</v>
      </c>
      <c r="B10" s="1">
        <f>VLOOKUP(A10,Censo_2000!A:L,12,FALSE)</f>
        <v>1545.2934315531002</v>
      </c>
      <c r="C10" s="1">
        <f>VLOOKUP(A10,'2010_consolidado'!A:D,4,FALSE)</f>
        <v>5300.5756756756755</v>
      </c>
      <c r="D10" s="1">
        <f>VLOOKUP(A10,Censo_2022!C:G,5,FALSE)</f>
        <v>6809.11</v>
      </c>
      <c r="E10" s="14">
        <f>(C10-B10)/B10</f>
        <v>2.4301418536079078</v>
      </c>
      <c r="F10" s="14">
        <f>(D10-C10)/C10</f>
        <v>0.28459820529437646</v>
      </c>
    </row>
    <row r="11" spans="1:6" x14ac:dyDescent="0.3">
      <c r="A11" t="s">
        <v>37</v>
      </c>
      <c r="B11" s="1">
        <f>VLOOKUP(A11,Censo_2000!A:L,12,FALSE)</f>
        <v>1638.7769171185128</v>
      </c>
      <c r="C11" s="1">
        <f>VLOOKUP(A11,'2010_consolidado'!A:D,4,FALSE)</f>
        <v>7745.082840236686</v>
      </c>
      <c r="D11" s="1">
        <f>VLOOKUP(A11,Censo_2022!C:G,5,FALSE)</f>
        <v>6608.51</v>
      </c>
      <c r="E11" s="14">
        <f>(C11-B11)/B11</f>
        <v>3.726136156381179</v>
      </c>
      <c r="F11" s="14">
        <f>(D11-C11)/C11</f>
        <v>-0.14674766734992761</v>
      </c>
    </row>
    <row r="12" spans="1:6" x14ac:dyDescent="0.3">
      <c r="A12" t="s">
        <v>40</v>
      </c>
      <c r="B12" s="1">
        <f>VLOOKUP(A12,Censo_2000!A:L,12,FALSE)</f>
        <v>862.47647058823532</v>
      </c>
      <c r="C12" s="1" t="e">
        <f>VLOOKUP(A12,'2010_consolidado'!A:D,4,FALSE)</f>
        <v>#N/A</v>
      </c>
      <c r="D12" s="1">
        <f>VLOOKUP(A12,Censo_2022!C:G,5,FALSE)</f>
        <v>6546.64</v>
      </c>
      <c r="E12" s="14" t="e">
        <f>(C12-B12)/B12</f>
        <v>#N/A</v>
      </c>
      <c r="F12" s="14" t="e">
        <f>(D12-C12)/C12</f>
        <v>#N/A</v>
      </c>
    </row>
    <row r="13" spans="1:6" x14ac:dyDescent="0.3">
      <c r="A13" t="s">
        <v>43</v>
      </c>
      <c r="B13" s="1">
        <f>VLOOKUP(A13,Censo_2000!A:L,12,FALSE)</f>
        <v>1693.5130057803469</v>
      </c>
      <c r="C13" s="1">
        <f>VLOOKUP(A13,'2010_consolidado'!A:D,4,FALSE)</f>
        <v>5699.8238341968909</v>
      </c>
      <c r="D13" s="1">
        <f>VLOOKUP(A13,Censo_2022!C:G,5,FALSE)</f>
        <v>6404.5</v>
      </c>
      <c r="E13" s="14">
        <f>(C13-B13)/B13</f>
        <v>2.3656805792114315</v>
      </c>
      <c r="F13" s="14">
        <f>(D13-C13)/C13</f>
        <v>0.123631218490527</v>
      </c>
    </row>
    <row r="14" spans="1:6" x14ac:dyDescent="0.3">
      <c r="A14" t="s">
        <v>45</v>
      </c>
      <c r="B14" s="1">
        <f>VLOOKUP(A14,Censo_2000!A:L,12,FALSE)</f>
        <v>1403.7847300655071</v>
      </c>
      <c r="C14" s="1">
        <f>VLOOKUP(A14,'2010_consolidado'!A:D,4,FALSE)</f>
        <v>4183.6642954856361</v>
      </c>
      <c r="D14" s="1">
        <f>VLOOKUP(A14,Censo_2022!C:G,5,FALSE)</f>
        <v>5896.4</v>
      </c>
      <c r="E14" s="14">
        <f>(C14-B14)/B14</f>
        <v>1.9802748283851235</v>
      </c>
      <c r="F14" s="14">
        <f>(D14-C14)/C14</f>
        <v>0.40938650511765085</v>
      </c>
    </row>
    <row r="15" spans="1:6" x14ac:dyDescent="0.3">
      <c r="A15" t="s">
        <v>48</v>
      </c>
      <c r="B15" s="1">
        <f>VLOOKUP(A15,Censo_2000!A:L,12,FALSE)</f>
        <v>1574.7388825541618</v>
      </c>
      <c r="C15" s="1">
        <f>VLOOKUP(A15,'2010_consolidado'!A:D,4,FALSE)</f>
        <v>4901.859375</v>
      </c>
      <c r="D15" s="1">
        <f>VLOOKUP(A15,Censo_2022!C:G,5,FALSE)</f>
        <v>5737.33</v>
      </c>
      <c r="E15" s="14">
        <f>(C15-B15)/B15</f>
        <v>2.1128077354954145</v>
      </c>
      <c r="F15" s="14">
        <f>(D15-C15)/C15</f>
        <v>0.1704395334678486</v>
      </c>
    </row>
    <row r="16" spans="1:6" x14ac:dyDescent="0.3">
      <c r="A16" t="s">
        <v>51</v>
      </c>
      <c r="B16" s="1">
        <f>VLOOKUP(A16,Censo_2000!A:L,12,FALSE)</f>
        <v>1216.0276953511375</v>
      </c>
      <c r="C16" s="1">
        <f>VLOOKUP(A16,'2010_consolidado'!A:D,4,FALSE)</f>
        <v>3937.5693717277486</v>
      </c>
      <c r="D16" s="1">
        <f>VLOOKUP(A16,Censo_2022!C:G,5,FALSE)</f>
        <v>5420.52</v>
      </c>
      <c r="E16" s="14">
        <f>(C16-B16)/B16</f>
        <v>2.2380589576874272</v>
      </c>
      <c r="F16" s="14">
        <f>(D16-C16)/C16</f>
        <v>0.37661574648564339</v>
      </c>
    </row>
    <row r="17" spans="1:6" x14ac:dyDescent="0.3">
      <c r="A17" t="s">
        <v>54</v>
      </c>
      <c r="B17" s="1">
        <f>VLOOKUP(A17,Censo_2000!A:L,12,FALSE)</f>
        <v>1297.0478520935292</v>
      </c>
      <c r="C17" s="1">
        <f>VLOOKUP(A17,'2010_consolidado'!A:D,4,FALSE)</f>
        <v>3471.840490797546</v>
      </c>
      <c r="D17" s="1">
        <f>VLOOKUP(A17,Censo_2022!C:G,5,FALSE)</f>
        <v>5354.9</v>
      </c>
      <c r="E17" s="14">
        <f>(C17-B17)/B17</f>
        <v>1.6767250608323696</v>
      </c>
      <c r="F17" s="14">
        <f>(D17-C17)/C17</f>
        <v>0.54238076725981155</v>
      </c>
    </row>
    <row r="18" spans="1:6" x14ac:dyDescent="0.3">
      <c r="A18" t="s">
        <v>57</v>
      </c>
      <c r="B18" s="1">
        <f>VLOOKUP(A18,Censo_2000!A:L,12,FALSE)</f>
        <v>754.42803030303025</v>
      </c>
      <c r="C18" s="1">
        <f>VLOOKUP(A18,'2010_consolidado'!A:D,4,FALSE)</f>
        <v>2225.0697674418607</v>
      </c>
      <c r="D18" s="1">
        <f>VLOOKUP(A18,Censo_2022!C:G,5,FALSE)</f>
        <v>5228.8900000000003</v>
      </c>
      <c r="E18" s="14">
        <f>(C18-B18)/B18</f>
        <v>1.949346628263692</v>
      </c>
      <c r="F18" s="14">
        <f>(D18-C18)/C18</f>
        <v>1.3499892347248061</v>
      </c>
    </row>
    <row r="19" spans="1:6" x14ac:dyDescent="0.3">
      <c r="A19" t="s">
        <v>60</v>
      </c>
      <c r="B19" s="1">
        <f>VLOOKUP(A19,Censo_2000!A:L,12,FALSE)</f>
        <v>830.498046875</v>
      </c>
      <c r="C19" s="1">
        <f>VLOOKUP(A19,'2010_consolidado'!A:D,4,FALSE)</f>
        <v>2422.2755102040815</v>
      </c>
      <c r="D19" s="1">
        <f>VLOOKUP(A19,Censo_2022!C:G,5,FALSE)</f>
        <v>5212.63</v>
      </c>
      <c r="E19" s="14">
        <f>(C19-B19)/B19</f>
        <v>1.916654071997671</v>
      </c>
      <c r="F19" s="14">
        <f>(D19-C19)/C19</f>
        <v>1.1519558687858864</v>
      </c>
    </row>
    <row r="20" spans="1:6" x14ac:dyDescent="0.3">
      <c r="A20" t="s">
        <v>62</v>
      </c>
      <c r="B20" s="1">
        <f>VLOOKUP(A20,Censo_2000!A:L,12,FALSE)</f>
        <v>1249.8102222222221</v>
      </c>
      <c r="C20" s="1">
        <f>VLOOKUP(A20,'2010_consolidado'!A:D,4,FALSE)</f>
        <v>4839.4972720187061</v>
      </c>
      <c r="D20" s="1">
        <f>VLOOKUP(A20,Censo_2022!C:G,5,FALSE)</f>
        <v>5190.04</v>
      </c>
      <c r="E20" s="14">
        <f>(C20-B20)/B20</f>
        <v>2.8721857014530165</v>
      </c>
      <c r="F20" s="14">
        <f>(D20-C20)/C20</f>
        <v>7.2433707114183676E-2</v>
      </c>
    </row>
    <row r="21" spans="1:6" x14ac:dyDescent="0.3">
      <c r="A21" t="s">
        <v>65</v>
      </c>
      <c r="B21" s="1">
        <f>VLOOKUP(A21,Censo_2000!A:L,12,FALSE)</f>
        <v>1135.6008298755187</v>
      </c>
      <c r="C21" s="1">
        <f>VLOOKUP(A21,'2010_consolidado'!A:D,4,FALSE)</f>
        <v>3282.5860373647984</v>
      </c>
      <c r="D21" s="1">
        <f>VLOOKUP(A21,Censo_2022!C:G,5,FALSE)</f>
        <v>5104.5200000000004</v>
      </c>
      <c r="E21" s="14">
        <f>(C21-B21)/B21</f>
        <v>1.8906160959081246</v>
      </c>
      <c r="F21" s="14">
        <f>(D21-C21)/C21</f>
        <v>0.55503007138171412</v>
      </c>
    </row>
    <row r="22" spans="1:6" x14ac:dyDescent="0.3">
      <c r="A22" t="s">
        <v>68</v>
      </c>
      <c r="B22" s="1">
        <f>VLOOKUP(A22,Censo_2000!A:L,12,FALSE)</f>
        <v>1760.7169811320755</v>
      </c>
      <c r="C22" s="1">
        <f>VLOOKUP(A22,'2010_consolidado'!A:D,4,FALSE)</f>
        <v>4160.4396135265697</v>
      </c>
      <c r="D22" s="1">
        <f>VLOOKUP(A22,Censo_2022!C:G,5,FALSE)</f>
        <v>4991.6899999999996</v>
      </c>
      <c r="E22" s="14">
        <f>(C22-B22)/B22</f>
        <v>1.3629235465495209</v>
      </c>
      <c r="F22" s="14">
        <f>(D22-C22)/C22</f>
        <v>0.19979869044868215</v>
      </c>
    </row>
    <row r="23" spans="1:6" x14ac:dyDescent="0.3">
      <c r="A23" t="s">
        <v>71</v>
      </c>
      <c r="B23" s="1">
        <f>VLOOKUP(A23,Censo_2000!A:L,12,FALSE)</f>
        <v>1460.0661114003124</v>
      </c>
      <c r="C23" s="1">
        <f>VLOOKUP(A23,'2010_consolidado'!A:D,4,FALSE)</f>
        <v>4007.5880201188843</v>
      </c>
      <c r="D23" s="1">
        <f>VLOOKUP(A23,Censo_2022!C:G,5,FALSE)</f>
        <v>4968.88</v>
      </c>
      <c r="E23" s="14">
        <f>(C23-B23)/B23</f>
        <v>1.7447990120634389</v>
      </c>
      <c r="F23" s="14">
        <f>(D23-C23)/C23</f>
        <v>0.23986796423565496</v>
      </c>
    </row>
    <row r="24" spans="1:6" x14ac:dyDescent="0.3">
      <c r="A24" t="s">
        <v>74</v>
      </c>
      <c r="B24" s="1">
        <f>VLOOKUP(A24,Censo_2000!A:L,12,FALSE)</f>
        <v>1239.0699588477366</v>
      </c>
      <c r="C24" s="1">
        <f>VLOOKUP(A24,'2010_consolidado'!A:D,4,FALSE)</f>
        <v>3100.1064356435645</v>
      </c>
      <c r="D24" s="1">
        <f>VLOOKUP(A24,Censo_2022!C:G,5,FALSE)</f>
        <v>4364.37</v>
      </c>
      <c r="E24" s="14">
        <f>(C24-B24)/B24</f>
        <v>1.5019623900223391</v>
      </c>
      <c r="F24" s="14">
        <f>(D24-C24)/C24</f>
        <v>0.40781295436199483</v>
      </c>
    </row>
    <row r="25" spans="1:6" x14ac:dyDescent="0.3">
      <c r="A25" t="s">
        <v>77</v>
      </c>
      <c r="B25" s="1">
        <f>VLOOKUP(A25,Censo_2000!A:L,12,FALSE)</f>
        <v>1162.2109621451104</v>
      </c>
      <c r="C25" s="1">
        <f>VLOOKUP(A25,'2010_consolidado'!A:D,4,FALSE)</f>
        <v>2802.5156794425088</v>
      </c>
      <c r="D25" s="1">
        <f>VLOOKUP(A25,Censo_2022!C:G,5,FALSE)</f>
        <v>4352.32</v>
      </c>
      <c r="E25" s="14">
        <f>(C25-B25)/B25</f>
        <v>1.4113657250916503</v>
      </c>
      <c r="F25" s="14">
        <f>(D25-C25)/C25</f>
        <v>0.55300469215065595</v>
      </c>
    </row>
    <row r="26" spans="1:6" x14ac:dyDescent="0.3">
      <c r="A26" t="s">
        <v>79</v>
      </c>
      <c r="B26" s="1">
        <f>VLOOKUP(A26,Censo_2000!A:L,12,FALSE)</f>
        <v>1007.3954002653693</v>
      </c>
      <c r="C26" s="1">
        <f>VLOOKUP(A26,'2010_consolidado'!A:D,4,FALSE)</f>
        <v>3120.760732113145</v>
      </c>
      <c r="D26" s="1">
        <f>VLOOKUP(A26,Censo_2022!C:G,5,FALSE)</f>
        <v>4204.83</v>
      </c>
      <c r="E26" s="14">
        <f>(C26-B26)/B26</f>
        <v>2.0978508848571975</v>
      </c>
      <c r="F26" s="14">
        <f>(D26-C26)/C26</f>
        <v>0.34737340057236771</v>
      </c>
    </row>
    <row r="27" spans="1:6" x14ac:dyDescent="0.3">
      <c r="A27" t="s">
        <v>82</v>
      </c>
      <c r="B27" s="1">
        <f>VLOOKUP(A27,Censo_2000!A:L,12,FALSE)</f>
        <v>1543.5513902681232</v>
      </c>
      <c r="C27" s="1">
        <f>VLOOKUP(A27,'2010_consolidado'!A:D,4,FALSE)</f>
        <v>3765.4246004169563</v>
      </c>
      <c r="D27" s="1">
        <f>VLOOKUP(A27,Censo_2022!C:G,5,FALSE)</f>
        <v>4094.09</v>
      </c>
      <c r="E27" s="14">
        <f>(C27-B27)/B27</f>
        <v>1.4394552874348303</v>
      </c>
      <c r="F27" s="14">
        <f>(D27-C27)/C27</f>
        <v>8.7285083213895651E-2</v>
      </c>
    </row>
    <row r="28" spans="1:6" x14ac:dyDescent="0.3">
      <c r="A28" t="s">
        <v>85</v>
      </c>
      <c r="B28" s="1" t="e">
        <f>VLOOKUP(A28,Censo_2000!A:L,12,FALSE)</f>
        <v>#N/A</v>
      </c>
      <c r="C28" s="1" t="e">
        <f>VLOOKUP(A28,'2010_consolidado'!A:D,4,FALSE)</f>
        <v>#N/A</v>
      </c>
      <c r="D28" s="1">
        <f>VLOOKUP(A28,Censo_2022!C:G,5,FALSE)</f>
        <v>4082.2</v>
      </c>
      <c r="E28" s="14" t="e">
        <f>(C28-B28)/B28</f>
        <v>#N/A</v>
      </c>
      <c r="F28" s="14" t="e">
        <f>(D28-C28)/C28</f>
        <v>#N/A</v>
      </c>
    </row>
    <row r="29" spans="1:6" x14ac:dyDescent="0.3">
      <c r="A29" t="s">
        <v>88</v>
      </c>
      <c r="B29" s="1">
        <f>VLOOKUP(A29,Censo_2000!A:L,12,FALSE)</f>
        <v>722.46546052631584</v>
      </c>
      <c r="C29" s="1">
        <f>VLOOKUP(A29,'2010_consolidado'!A:D,4,FALSE)</f>
        <v>2208.1970588235295</v>
      </c>
      <c r="D29" s="1">
        <f>VLOOKUP(A29,Censo_2022!C:G,5,FALSE)</f>
        <v>4026.84</v>
      </c>
      <c r="E29" s="14">
        <f>(C29-B29)/B29</f>
        <v>2.0564742253766135</v>
      </c>
      <c r="F29" s="14">
        <f>(D29-C29)/C29</f>
        <v>0.82358724911326386</v>
      </c>
    </row>
    <row r="30" spans="1:6" x14ac:dyDescent="0.3">
      <c r="A30" t="s">
        <v>91</v>
      </c>
      <c r="B30" s="1" t="e">
        <f>VLOOKUP(A30,Censo_2000!A:L,12,FALSE)</f>
        <v>#N/A</v>
      </c>
      <c r="C30" s="1" t="e">
        <f>VLOOKUP(A30,'2010_consolidado'!A:D,4,FALSE)</f>
        <v>#N/A</v>
      </c>
      <c r="D30" s="1">
        <f>VLOOKUP(A30,Censo_2022!C:G,5,FALSE)</f>
        <v>3918.3</v>
      </c>
      <c r="E30" s="14" t="e">
        <f>(C30-B30)/B30</f>
        <v>#N/A</v>
      </c>
      <c r="F30" s="14" t="e">
        <f>(D30-C30)/C30</f>
        <v>#N/A</v>
      </c>
    </row>
    <row r="31" spans="1:6" x14ac:dyDescent="0.3">
      <c r="A31" t="s">
        <v>94</v>
      </c>
      <c r="B31" s="1">
        <f>VLOOKUP(A31,Censo_2000!A:L,12,FALSE)</f>
        <v>844.25967741935483</v>
      </c>
      <c r="C31" s="1">
        <f>VLOOKUP(A31,'2010_consolidado'!A:D,4,FALSE)</f>
        <v>2358.1556420233464</v>
      </c>
      <c r="D31" s="1">
        <f>VLOOKUP(A31,Censo_2022!C:G,5,FALSE)</f>
        <v>3777.87</v>
      </c>
      <c r="E31" s="14">
        <f>(C31-B31)/B31</f>
        <v>1.7931638867694255</v>
      </c>
      <c r="F31" s="14">
        <f>(D31-C31)/C31</f>
        <v>0.60204438276962458</v>
      </c>
    </row>
    <row r="32" spans="1:6" x14ac:dyDescent="0.3">
      <c r="A32" t="s">
        <v>96</v>
      </c>
      <c r="B32" s="1">
        <f>VLOOKUP(A32,Censo_2000!A:L,12,FALSE)</f>
        <v>1301.4856020942409</v>
      </c>
      <c r="C32" s="1">
        <f>VLOOKUP(A32,'2010_consolidado'!A:D,4,FALSE)</f>
        <v>3294.0529247910863</v>
      </c>
      <c r="D32" s="1">
        <f>VLOOKUP(A32,Censo_2022!C:G,5,FALSE)</f>
        <v>3750.53</v>
      </c>
      <c r="E32" s="14">
        <f>(C32-B32)/B32</f>
        <v>1.5309945184876221</v>
      </c>
      <c r="F32" s="14">
        <f>(D32-C32)/C32</f>
        <v>0.13857612055151311</v>
      </c>
    </row>
    <row r="33" spans="1:6" x14ac:dyDescent="0.3">
      <c r="A33" t="s">
        <v>219</v>
      </c>
      <c r="B33" s="1">
        <f>VLOOKUP(A33,Censo_2000!A:L,12,FALSE)</f>
        <v>1031.9145161290323</v>
      </c>
      <c r="C33" s="1">
        <f>VLOOKUP(A33,'2010_consolidado'!A:D,4,FALSE)</f>
        <v>3408.1305555555555</v>
      </c>
      <c r="D33" s="1">
        <f>VLOOKUP(A33,Censo_2022!C:G,5,FALSE)</f>
        <v>3731.25</v>
      </c>
      <c r="E33" s="14">
        <f>(C33-B33)/B33</f>
        <v>2.3027256640795204</v>
      </c>
      <c r="F33" s="14">
        <f>(D33-C33)/C33</f>
        <v>9.4808411584389324E-2</v>
      </c>
    </row>
    <row r="34" spans="1:6" x14ac:dyDescent="0.3">
      <c r="A34" t="s">
        <v>220</v>
      </c>
      <c r="B34" s="1">
        <f>VLOOKUP(A34,Censo_2000!A:L,12,FALSE)</f>
        <v>1105.6150540275048</v>
      </c>
      <c r="C34" s="1">
        <f>VLOOKUP(A34,'2010_consolidado'!A:D,4,FALSE)</f>
        <v>3033.560975609756</v>
      </c>
      <c r="D34" s="1">
        <f>VLOOKUP(A34,Censo_2022!C:G,5,FALSE)</f>
        <v>3664.45</v>
      </c>
      <c r="E34" s="14">
        <f>(C34-B34)/B34</f>
        <v>1.7437768367563209</v>
      </c>
      <c r="F34" s="14">
        <f>(D34-C34)/C34</f>
        <v>0.2079697851675564</v>
      </c>
    </row>
    <row r="35" spans="1:6" x14ac:dyDescent="0.3">
      <c r="A35" t="s">
        <v>102</v>
      </c>
      <c r="B35" s="1">
        <f>VLOOKUP(A35,Censo_2000!A:L,12,FALSE)</f>
        <v>719.02507836990594</v>
      </c>
      <c r="C35" s="1">
        <f>VLOOKUP(A35,'2010_consolidado'!A:D,4,FALSE)</f>
        <v>2494.8498912255259</v>
      </c>
      <c r="D35" s="1">
        <f>VLOOKUP(A35,Censo_2022!C:G,5,FALSE)</f>
        <v>3630.86</v>
      </c>
      <c r="E35" s="14">
        <f>(C35-B35)/B35</f>
        <v>2.4697675592645161</v>
      </c>
      <c r="F35" s="14">
        <f>(D35-C35)/C35</f>
        <v>0.45534206798166954</v>
      </c>
    </row>
    <row r="36" spans="1:6" x14ac:dyDescent="0.3">
      <c r="A36" t="s">
        <v>105</v>
      </c>
      <c r="B36" s="1">
        <f>VLOOKUP(A36,Censo_2000!A:L,12,FALSE)</f>
        <v>844.08029978586728</v>
      </c>
      <c r="C36" s="1">
        <f>VLOOKUP(A36,'2010_consolidado'!A:D,4,FALSE)</f>
        <v>2880.6378600823045</v>
      </c>
      <c r="D36" s="1">
        <f>VLOOKUP(A36,Censo_2022!C:G,5,FALSE)</f>
        <v>3621.48</v>
      </c>
      <c r="E36" s="14">
        <f>(C36-B36)/B36</f>
        <v>2.4127533373460874</v>
      </c>
      <c r="F36" s="14">
        <f>(D36-C36)/C36</f>
        <v>0.25717989414210102</v>
      </c>
    </row>
    <row r="37" spans="1:6" x14ac:dyDescent="0.3">
      <c r="A37" t="s">
        <v>108</v>
      </c>
      <c r="B37" s="1">
        <f>VLOOKUP(A37,Censo_2000!A:L,12,FALSE)</f>
        <v>754.9412081155856</v>
      </c>
      <c r="C37" s="1">
        <f>VLOOKUP(A37,'2010_consolidado'!A:D,4,FALSE)</f>
        <v>2490.3809829746224</v>
      </c>
      <c r="D37" s="1">
        <f>VLOOKUP(A37,Censo_2022!C:G,5,FALSE)</f>
        <v>3611.44</v>
      </c>
      <c r="E37" s="14">
        <f>(C37-B37)/B37</f>
        <v>2.298774733983433</v>
      </c>
      <c r="F37" s="14">
        <f>(D37-C37)/C37</f>
        <v>0.45015562867265985</v>
      </c>
    </row>
    <row r="38" spans="1:6" x14ac:dyDescent="0.3">
      <c r="A38" t="s">
        <v>111</v>
      </c>
      <c r="B38" s="1">
        <f>VLOOKUP(A38,Censo_2000!A:L,12,FALSE)</f>
        <v>674.90878378378375</v>
      </c>
      <c r="C38" s="1">
        <f>VLOOKUP(A38,'2010_consolidado'!A:D,4,FALSE)</f>
        <v>2715.090909090909</v>
      </c>
      <c r="D38" s="1">
        <f>VLOOKUP(A38,Censo_2022!C:G,5,FALSE)</f>
        <v>3549.95</v>
      </c>
      <c r="E38" s="14">
        <f>(C38-B38)/B38</f>
        <v>3.0229005375646816</v>
      </c>
      <c r="F38" s="14">
        <f>(D38-C38)/C38</f>
        <v>0.3074884484028661</v>
      </c>
    </row>
    <row r="39" spans="1:6" x14ac:dyDescent="0.3">
      <c r="A39" t="s">
        <v>114</v>
      </c>
      <c r="B39" s="1">
        <f>VLOOKUP(A39,Censo_2000!A:L,12,FALSE)</f>
        <v>963.30906735751296</v>
      </c>
      <c r="C39" s="1">
        <f>VLOOKUP(A39,'2010_consolidado'!A:D,4,FALSE)</f>
        <v>2878.5751161590088</v>
      </c>
      <c r="D39" s="1">
        <f>VLOOKUP(A39,Censo_2022!C:G,5,FALSE)</f>
        <v>3529.59</v>
      </c>
      <c r="E39" s="14">
        <f>(C39-B39)/B39</f>
        <v>1.9882155309254272</v>
      </c>
      <c r="F39" s="14">
        <f>(D39-C39)/C39</f>
        <v>0.22615872699881637</v>
      </c>
    </row>
    <row r="40" spans="1:6" x14ac:dyDescent="0.3">
      <c r="A40" t="s">
        <v>116</v>
      </c>
      <c r="B40" s="1">
        <f>VLOOKUP(A40,Censo_2000!A:L,12,FALSE)</f>
        <v>747.67636561142149</v>
      </c>
      <c r="C40" s="1">
        <f>VLOOKUP(A40,'2010_consolidado'!A:D,4,FALSE)</f>
        <v>2324.8980350504512</v>
      </c>
      <c r="D40" s="1">
        <f>VLOOKUP(A40,Censo_2022!C:G,5,FALSE)</f>
        <v>3444.73</v>
      </c>
      <c r="E40" s="14">
        <f>(C40-B40)/B40</f>
        <v>2.1094978281802947</v>
      </c>
      <c r="F40" s="14">
        <f>(D40-C40)/C40</f>
        <v>0.4816692810036497</v>
      </c>
    </row>
    <row r="41" spans="1:6" x14ac:dyDescent="0.3">
      <c r="A41" t="s">
        <v>119</v>
      </c>
      <c r="B41" s="1">
        <f>VLOOKUP(A41,Censo_2000!A:L,12,FALSE)</f>
        <v>674.05692219679634</v>
      </c>
      <c r="C41" s="1">
        <f>VLOOKUP(A41,'2010_consolidado'!A:D,4,FALSE)</f>
        <v>2474.0740584003383</v>
      </c>
      <c r="D41" s="1">
        <f>VLOOKUP(A41,Censo_2022!C:G,5,FALSE)</f>
        <v>3429.61</v>
      </c>
      <c r="E41" s="14">
        <f>(C41-B41)/B41</f>
        <v>2.6704230413318308</v>
      </c>
      <c r="F41" s="14">
        <f>(D41-C41)/C41</f>
        <v>0.3862196195604114</v>
      </c>
    </row>
    <row r="42" spans="1:6" x14ac:dyDescent="0.3">
      <c r="A42" t="s">
        <v>122</v>
      </c>
      <c r="B42" s="1" t="e">
        <f>VLOOKUP(A42,Censo_2000!A:L,12,FALSE)</f>
        <v>#N/A</v>
      </c>
      <c r="C42" s="1" t="e">
        <f>VLOOKUP(A42,'2010_consolidado'!A:D,4,FALSE)</f>
        <v>#N/A</v>
      </c>
      <c r="D42" s="1">
        <f>VLOOKUP(A42,Censo_2022!C:G,5,FALSE)</f>
        <v>3341.69</v>
      </c>
      <c r="E42" s="14" t="e">
        <f>(C42-B42)/B42</f>
        <v>#N/A</v>
      </c>
      <c r="F42" s="14" t="e">
        <f>(D42-C42)/C42</f>
        <v>#N/A</v>
      </c>
    </row>
    <row r="43" spans="1:6" x14ac:dyDescent="0.3">
      <c r="A43" t="s">
        <v>125</v>
      </c>
      <c r="B43" s="1">
        <f>VLOOKUP(A43,Censo_2000!A:L,12,FALSE)</f>
        <v>822.48279952550411</v>
      </c>
      <c r="C43" s="1">
        <f>VLOOKUP(A43,'2010_consolidado'!A:D,4,FALSE)</f>
        <v>2555.7649219467403</v>
      </c>
      <c r="D43" s="1">
        <f>VLOOKUP(A43,Censo_2022!C:G,5,FALSE)</f>
        <v>3339.7</v>
      </c>
      <c r="E43" s="14">
        <f>(C43-B43)/B43</f>
        <v>2.1073779578383625</v>
      </c>
      <c r="F43" s="14">
        <f>(D43-C43)/C43</f>
        <v>0.3067320751300287</v>
      </c>
    </row>
    <row r="44" spans="1:6" x14ac:dyDescent="0.3">
      <c r="A44" t="s">
        <v>127</v>
      </c>
      <c r="B44" s="1">
        <f>VLOOKUP(A44,Censo_2000!A:L,12,FALSE)</f>
        <v>856.55892857142862</v>
      </c>
      <c r="C44" s="1">
        <f>VLOOKUP(A44,'2010_consolidado'!A:D,4,FALSE)</f>
        <v>2485.4574522949974</v>
      </c>
      <c r="D44" s="1">
        <f>VLOOKUP(A44,Censo_2022!C:G,5,FALSE)</f>
        <v>3287.5</v>
      </c>
      <c r="E44" s="14">
        <f>(C44-B44)/B44</f>
        <v>1.9016771285546581</v>
      </c>
      <c r="F44" s="14">
        <f>(D44-C44)/C44</f>
        <v>0.32269413703478222</v>
      </c>
    </row>
    <row r="45" spans="1:6" x14ac:dyDescent="0.3">
      <c r="A45" t="s">
        <v>129</v>
      </c>
      <c r="B45" s="1">
        <f>VLOOKUP(A45,Censo_2000!A:L,12,FALSE)</f>
        <v>781.35757780784843</v>
      </c>
      <c r="C45" s="1">
        <f>VLOOKUP(A45,'2010_consolidado'!A:D,4,FALSE)</f>
        <v>2411.4923629829291</v>
      </c>
      <c r="D45" s="1">
        <f>VLOOKUP(A45,Censo_2022!C:G,5,FALSE)</f>
        <v>3156.09</v>
      </c>
      <c r="E45" s="14">
        <f>(C45-B45)/B45</f>
        <v>2.0862852443928861</v>
      </c>
      <c r="F45" s="14">
        <f>(D45-C45)/C45</f>
        <v>0.30877047277729325</v>
      </c>
    </row>
    <row r="46" spans="1:6" x14ac:dyDescent="0.3">
      <c r="A46" t="s">
        <v>132</v>
      </c>
      <c r="B46" s="1">
        <f>VLOOKUP(A46,Censo_2000!A:L,12,FALSE)</f>
        <v>795.52813852813858</v>
      </c>
      <c r="C46" s="1">
        <f>VLOOKUP(A46,'2010_consolidado'!A:D,4,FALSE)</f>
        <v>2280.286703601108</v>
      </c>
      <c r="D46" s="1">
        <f>VLOOKUP(A46,Censo_2022!C:G,5,FALSE)</f>
        <v>3152.28</v>
      </c>
      <c r="E46" s="14">
        <f>(C46-B46)/B46</f>
        <v>1.8663809526838653</v>
      </c>
      <c r="F46" s="14">
        <f>(D46-C46)/C46</f>
        <v>0.38240511380512376</v>
      </c>
    </row>
    <row r="47" spans="1:6" x14ac:dyDescent="0.3">
      <c r="A47" t="s">
        <v>135</v>
      </c>
      <c r="B47" s="1">
        <f>VLOOKUP(A47,Censo_2000!A:L,12,FALSE)</f>
        <v>883.91756615598888</v>
      </c>
      <c r="C47" s="1">
        <f>VLOOKUP(A47,'2010_consolidado'!A:D,4,FALSE)</f>
        <v>2399.8213572854293</v>
      </c>
      <c r="D47" s="1">
        <f>VLOOKUP(A47,Censo_2022!C:G,5,FALSE)</f>
        <v>3147.23</v>
      </c>
      <c r="E47" s="14">
        <f>(C47-B47)/B47</f>
        <v>1.7149832169552359</v>
      </c>
      <c r="F47" s="14">
        <f>(D47-C47)/C47</f>
        <v>0.3114434499241252</v>
      </c>
    </row>
    <row r="48" spans="1:6" x14ac:dyDescent="0.3">
      <c r="A48" t="s">
        <v>138</v>
      </c>
      <c r="B48" s="1">
        <f>VLOOKUP(A48,Censo_2000!A:L,12,FALSE)</f>
        <v>693.42349726775956</v>
      </c>
      <c r="C48" s="1">
        <f>VLOOKUP(A48,'2010_consolidado'!A:D,4,FALSE)</f>
        <v>1869.2186379928316</v>
      </c>
      <c r="D48" s="1">
        <f>VLOOKUP(A48,Censo_2022!C:G,5,FALSE)</f>
        <v>3064.16</v>
      </c>
      <c r="E48" s="14">
        <f>(C48-B48)/B48</f>
        <v>1.6956378682839022</v>
      </c>
      <c r="F48" s="14">
        <f>(D48-C48)/C48</f>
        <v>0.63927319026216067</v>
      </c>
    </row>
    <row r="49" spans="1:6" x14ac:dyDescent="0.3">
      <c r="A49" t="s">
        <v>140</v>
      </c>
      <c r="B49" s="1">
        <f>VLOOKUP(A49,Censo_2000!A:L,12,FALSE)</f>
        <v>818.81493506493507</v>
      </c>
      <c r="C49" s="1">
        <f>VLOOKUP(A49,'2010_consolidado'!A:D,4,FALSE)</f>
        <v>3435.7019405700426</v>
      </c>
      <c r="D49" s="1">
        <f>VLOOKUP(A49,Censo_2022!C:G,5,FALSE)</f>
        <v>3013.11</v>
      </c>
      <c r="E49" s="14">
        <f>(C49-B49)/B49</f>
        <v>3.1959443989594285</v>
      </c>
      <c r="F49" s="14">
        <f>(D49-C49)/C49</f>
        <v>-0.12300017518397625</v>
      </c>
    </row>
    <row r="50" spans="1:6" x14ac:dyDescent="0.3">
      <c r="A50" t="s">
        <v>142</v>
      </c>
      <c r="B50" s="1">
        <f>VLOOKUP(A50,Censo_2000!A:L,12,FALSE)</f>
        <v>1410.6771844660195</v>
      </c>
      <c r="C50" s="1">
        <f>VLOOKUP(A50,'2010_consolidado'!A:D,4,FALSE)</f>
        <v>2127.9224137931033</v>
      </c>
      <c r="D50" s="1">
        <f>VLOOKUP(A50,Censo_2022!C:G,5,FALSE)</f>
        <v>2845.11</v>
      </c>
      <c r="E50" s="14">
        <f>(C50-B50)/B50</f>
        <v>0.50844036979203078</v>
      </c>
      <c r="F50" s="14">
        <f>(D50-C50)/C50</f>
        <v>0.33703652988385158</v>
      </c>
    </row>
    <row r="51" spans="1:6" x14ac:dyDescent="0.3">
      <c r="A51" t="s">
        <v>145</v>
      </c>
      <c r="B51" s="1">
        <f>VLOOKUP(A51,Censo_2000!A:L,12,FALSE)</f>
        <v>622.36264534883719</v>
      </c>
      <c r="C51" s="1">
        <f>VLOOKUP(A51,'2010_consolidado'!A:D,4,FALSE)</f>
        <v>2280.3719692489649</v>
      </c>
      <c r="D51" s="1">
        <f>VLOOKUP(A51,Censo_2022!C:G,5,FALSE)</f>
        <v>2830.22</v>
      </c>
      <c r="E51" s="14">
        <f>(C51-B51)/B51</f>
        <v>2.6640566176185039</v>
      </c>
      <c r="F51" s="14">
        <f>(D51-C51)/C51</f>
        <v>0.24112207927732338</v>
      </c>
    </row>
    <row r="52" spans="1:6" x14ac:dyDescent="0.3">
      <c r="A52" t="s">
        <v>147</v>
      </c>
      <c r="B52" s="1">
        <f>VLOOKUP(A52,Censo_2000!A:L,12,FALSE)</f>
        <v>845.55460921843689</v>
      </c>
      <c r="C52" s="1">
        <f>VLOOKUP(A52,'2010_consolidado'!A:D,4,FALSE)</f>
        <v>2432.9410949410949</v>
      </c>
      <c r="D52" s="1">
        <f>VLOOKUP(A52,Censo_2022!C:G,5,FALSE)</f>
        <v>2785.82</v>
      </c>
      <c r="E52" s="14">
        <f>(C52-B52)/B52</f>
        <v>1.8773317162683452</v>
      </c>
      <c r="F52" s="14">
        <f>(D52-C52)/C52</f>
        <v>0.14504210800362555</v>
      </c>
    </row>
    <row r="53" spans="1:6" x14ac:dyDescent="0.3">
      <c r="A53" t="s">
        <v>149</v>
      </c>
      <c r="B53" s="1">
        <f>VLOOKUP(A53,Censo_2000!A:L,12,FALSE)</f>
        <v>440.52323008849555</v>
      </c>
      <c r="C53" s="1">
        <f>VLOOKUP(A53,'2010_consolidado'!A:D,4,FALSE)</f>
        <v>1794.0149739583333</v>
      </c>
      <c r="D53" s="1">
        <f>VLOOKUP(A53,Censo_2022!C:G,5,FALSE)</f>
        <v>2747.59</v>
      </c>
      <c r="E53" s="14">
        <f>(C53-B53)/B53</f>
        <v>3.07246395064782</v>
      </c>
      <c r="F53" s="14">
        <f>(D53-C53)/C53</f>
        <v>0.53153125246089172</v>
      </c>
    </row>
    <row r="54" spans="1:6" x14ac:dyDescent="0.3">
      <c r="A54" t="s">
        <v>152</v>
      </c>
      <c r="B54" s="1" t="e">
        <f>VLOOKUP(A54,Censo_2000!A:L,12,FALSE)</f>
        <v>#N/A</v>
      </c>
      <c r="C54" s="1" t="e">
        <f>VLOOKUP(A54,'2010_consolidado'!A:D,4,FALSE)</f>
        <v>#N/A</v>
      </c>
      <c r="D54" s="1">
        <f>VLOOKUP(A54,Censo_2022!C:G,5,FALSE)</f>
        <v>2695.74</v>
      </c>
      <c r="E54" s="14" t="e">
        <f>(C54-B54)/B54</f>
        <v>#N/A</v>
      </c>
      <c r="F54" s="14" t="e">
        <f>(D54-C54)/C54</f>
        <v>#N/A</v>
      </c>
    </row>
    <row r="55" spans="1:6" x14ac:dyDescent="0.3">
      <c r="A55" t="s">
        <v>155</v>
      </c>
      <c r="B55" s="1">
        <f>VLOOKUP(A55,Censo_2000!A:L,12,FALSE)</f>
        <v>746.4324769433465</v>
      </c>
      <c r="C55" s="1">
        <f>VLOOKUP(A55,'2010_consolidado'!A:D,4,FALSE)</f>
        <v>2165.2797955340329</v>
      </c>
      <c r="D55" s="1">
        <f>VLOOKUP(A55,Censo_2022!C:G,5,FALSE)</f>
        <v>2647.64</v>
      </c>
      <c r="E55" s="14">
        <f>(C55-B55)/B55</f>
        <v>1.9008381366267582</v>
      </c>
      <c r="F55" s="14">
        <f>(D55-C55)/C55</f>
        <v>0.22277038074287311</v>
      </c>
    </row>
    <row r="56" spans="1:6" x14ac:dyDescent="0.3">
      <c r="A56" t="s">
        <v>157</v>
      </c>
      <c r="B56" s="1">
        <f>VLOOKUP(A56,Censo_2000!A:L,12,FALSE)</f>
        <v>676.07854984894254</v>
      </c>
      <c r="C56" s="1">
        <f>VLOOKUP(A56,'2010_consolidado'!A:D,4,FALSE)</f>
        <v>2549.2658450704225</v>
      </c>
      <c r="D56" s="1">
        <f>VLOOKUP(A56,Censo_2022!C:G,5,FALSE)</f>
        <v>2617.46</v>
      </c>
      <c r="E56" s="14">
        <f>(C56-B56)/B56</f>
        <v>2.7706651773525568</v>
      </c>
      <c r="F56" s="14">
        <f>(D56-C56)/C56</f>
        <v>2.6750507429990564E-2</v>
      </c>
    </row>
    <row r="57" spans="1:6" x14ac:dyDescent="0.3">
      <c r="A57" t="s">
        <v>159</v>
      </c>
      <c r="B57" s="1">
        <f>VLOOKUP(A57,Censo_2000!A:L,12,FALSE)</f>
        <v>726.22105423522248</v>
      </c>
      <c r="C57" s="1">
        <f>VLOOKUP(A57,'2010_consolidado'!A:D,4,FALSE)</f>
        <v>2294.6759116589624</v>
      </c>
      <c r="D57" s="1">
        <f>VLOOKUP(A57,Censo_2022!C:G,5,FALSE)</f>
        <v>2587.83</v>
      </c>
      <c r="E57" s="14">
        <f>(C57-B57)/B57</f>
        <v>2.1597485342468721</v>
      </c>
      <c r="F57" s="14">
        <f>(D57-C57)/C57</f>
        <v>0.12775402698549201</v>
      </c>
    </row>
    <row r="58" spans="1:6" x14ac:dyDescent="0.3">
      <c r="A58" t="s">
        <v>161</v>
      </c>
      <c r="B58" s="1">
        <f>VLOOKUP(A58,Censo_2000!A:L,12,FALSE)</f>
        <v>681.28278894472362</v>
      </c>
      <c r="C58" s="1">
        <f>VLOOKUP(A58,'2010_consolidado'!A:D,4,FALSE)</f>
        <v>2026.4997960016319</v>
      </c>
      <c r="D58" s="1">
        <f>VLOOKUP(A58,Censo_2022!C:G,5,FALSE)</f>
        <v>2543.88</v>
      </c>
      <c r="E58" s="14">
        <f>(C58-B58)/B58</f>
        <v>1.9745354335761054</v>
      </c>
      <c r="F58" s="14">
        <f>(D58-C58)/C58</f>
        <v>0.25530730623273723</v>
      </c>
    </row>
    <row r="59" spans="1:6" x14ac:dyDescent="0.3">
      <c r="A59" t="s">
        <v>164</v>
      </c>
      <c r="B59" s="1" t="e">
        <f>VLOOKUP(A59,Censo_2000!A:L,12,FALSE)</f>
        <v>#N/A</v>
      </c>
      <c r="C59" s="1" t="e">
        <f>VLOOKUP(A59,'2010_consolidado'!A:D,4,FALSE)</f>
        <v>#N/A</v>
      </c>
      <c r="D59" s="1">
        <f>VLOOKUP(A59,Censo_2022!C:G,5,FALSE)</f>
        <v>2482.63</v>
      </c>
      <c r="E59" s="14" t="e">
        <f>(C59-B59)/B59</f>
        <v>#N/A</v>
      </c>
      <c r="F59" s="14" t="e">
        <f>(D59-C59)/C59</f>
        <v>#N/A</v>
      </c>
    </row>
    <row r="60" spans="1:6" x14ac:dyDescent="0.3">
      <c r="A60" t="s">
        <v>167</v>
      </c>
      <c r="B60" s="1">
        <f>VLOOKUP(A60,Censo_2000!A:L,12,FALSE)</f>
        <v>733.18592017738354</v>
      </c>
      <c r="C60" s="1">
        <f>VLOOKUP(A60,'2010_consolidado'!A:D,4,FALSE)</f>
        <v>3100.9701754385965</v>
      </c>
      <c r="D60" s="1">
        <f>VLOOKUP(A60,Censo_2022!C:G,5,FALSE)</f>
        <v>2379.0700000000002</v>
      </c>
      <c r="E60" s="14">
        <f>(C60-B60)/B60</f>
        <v>3.2294458882794181</v>
      </c>
      <c r="F60" s="14">
        <f>(D60-C60)/C60</f>
        <v>-0.23279816786257607</v>
      </c>
    </row>
    <row r="61" spans="1:6" x14ac:dyDescent="0.3">
      <c r="A61" t="s">
        <v>170</v>
      </c>
      <c r="B61" s="1">
        <f>VLOOKUP(A61,Censo_2000!A:L,12,FALSE)</f>
        <v>595.18328917486747</v>
      </c>
      <c r="C61" s="1">
        <f>VLOOKUP(A61,'2010_consolidado'!A:D,4,FALSE)</f>
        <v>1824.0303742542035</v>
      </c>
      <c r="D61" s="1">
        <f>VLOOKUP(A61,Censo_2022!C:G,5,FALSE)</f>
        <v>2276.61</v>
      </c>
      <c r="E61" s="14">
        <f>(C61-B61)/B61</f>
        <v>2.064653204196893</v>
      </c>
      <c r="F61" s="14">
        <f>(D61-C61)/C61</f>
        <v>0.24812066297461968</v>
      </c>
    </row>
    <row r="62" spans="1:6" x14ac:dyDescent="0.3">
      <c r="A62" t="s">
        <v>173</v>
      </c>
      <c r="B62" s="1">
        <f>VLOOKUP(A62,Censo_2000!A:L,12,FALSE)</f>
        <v>536.5244371615845</v>
      </c>
      <c r="C62" s="1">
        <f>VLOOKUP(A62,'2010_consolidado'!A:D,4,FALSE)</f>
        <v>1806.7221951219512</v>
      </c>
      <c r="D62" s="1">
        <f>VLOOKUP(A62,Censo_2022!C:G,5,FALSE)</f>
        <v>2243.91</v>
      </c>
      <c r="E62" s="14">
        <f>(C62-B62)/B62</f>
        <v>2.3674555527800174</v>
      </c>
      <c r="F62" s="14">
        <f>(D62-C62)/C62</f>
        <v>0.24197843257720042</v>
      </c>
    </row>
    <row r="63" spans="1:6" x14ac:dyDescent="0.3">
      <c r="A63" t="s">
        <v>176</v>
      </c>
      <c r="B63" s="1">
        <f>VLOOKUP(A63,Censo_2000!A:L,12,FALSE)</f>
        <v>565.22768259693419</v>
      </c>
      <c r="C63" s="1">
        <f>VLOOKUP(A63,'2010_consolidado'!A:D,4,FALSE)</f>
        <v>1622.1993620414673</v>
      </c>
      <c r="D63" s="1">
        <f>VLOOKUP(A63,Censo_2022!C:G,5,FALSE)</f>
        <v>2228.62</v>
      </c>
      <c r="E63" s="14">
        <f>(C63-B63)/B63</f>
        <v>1.8699927692647411</v>
      </c>
      <c r="F63" s="14">
        <f>(D63-C63)/C63</f>
        <v>0.37382620912597236</v>
      </c>
    </row>
    <row r="64" spans="1:6" x14ac:dyDescent="0.3">
      <c r="A64" t="s">
        <v>179</v>
      </c>
      <c r="B64" s="1">
        <f>VLOOKUP(A64,Censo_2000!A:L,12,FALSE)</f>
        <v>652.87181069958842</v>
      </c>
      <c r="C64" s="1">
        <f>VLOOKUP(A64,'2010_consolidado'!A:D,4,FALSE)</f>
        <v>2063.1289537712896</v>
      </c>
      <c r="D64" s="1">
        <f>VLOOKUP(A64,Censo_2022!C:G,5,FALSE)</f>
        <v>2223.11</v>
      </c>
      <c r="E64" s="14">
        <f>(C64-B64)/B64</f>
        <v>2.1600827604434816</v>
      </c>
      <c r="F64" s="14">
        <f>(D64-C64)/C64</f>
        <v>7.7542921365275644E-2</v>
      </c>
    </row>
    <row r="65" spans="1:6" x14ac:dyDescent="0.3">
      <c r="A65" t="s">
        <v>182</v>
      </c>
      <c r="B65" s="1">
        <f>VLOOKUP(A65,Censo_2000!A:L,12,FALSE)</f>
        <v>454.10041695621959</v>
      </c>
      <c r="C65" s="1">
        <f>VLOOKUP(A65,'2010_consolidado'!A:D,4,FALSE)</f>
        <v>1588.7741246797609</v>
      </c>
      <c r="D65" s="1">
        <f>VLOOKUP(A65,Censo_2022!C:G,5,FALSE)</f>
        <v>2035.35</v>
      </c>
      <c r="E65" s="14">
        <f>(C65-B65)/B65</f>
        <v>2.4987286189453921</v>
      </c>
      <c r="F65" s="14">
        <f>(D65-C65)/C65</f>
        <v>0.28108204204940235</v>
      </c>
    </row>
    <row r="66" spans="1:6" x14ac:dyDescent="0.3">
      <c r="A66" t="s">
        <v>185</v>
      </c>
      <c r="B66" s="1">
        <f>VLOOKUP(A66,Censo_2000!A:L,12,FALSE)</f>
        <v>524.38691376701968</v>
      </c>
      <c r="C66" s="1">
        <f>VLOOKUP(A66,'2010_consolidado'!A:D,4,FALSE)</f>
        <v>2114.0275246419938</v>
      </c>
      <c r="D66" s="1">
        <f>VLOOKUP(A66,Censo_2022!C:G,5,FALSE)</f>
        <v>2021.17</v>
      </c>
      <c r="E66" s="14">
        <f>(C66-B66)/B66</f>
        <v>3.0314269276010899</v>
      </c>
      <c r="F66" s="14">
        <f>(D66-C66)/C66</f>
        <v>-4.3924463404382073E-2</v>
      </c>
    </row>
    <row r="67" spans="1:6" x14ac:dyDescent="0.3">
      <c r="A67" t="s">
        <v>188</v>
      </c>
      <c r="B67" s="1">
        <f>VLOOKUP(A67,Censo_2000!A:L,12,FALSE)</f>
        <v>498.36407103825138</v>
      </c>
      <c r="C67" s="1">
        <f>VLOOKUP(A67,'2010_consolidado'!A:D,4,FALSE)</f>
        <v>1776.7696319018405</v>
      </c>
      <c r="D67" s="1">
        <f>VLOOKUP(A67,Censo_2022!C:G,5,FALSE)</f>
        <v>2015.89</v>
      </c>
      <c r="E67" s="14">
        <f>(C67-B67)/B67</f>
        <v>2.5652041051038497</v>
      </c>
      <c r="F67" s="14">
        <f>(D67-C67)/C67</f>
        <v>0.13458152582347269</v>
      </c>
    </row>
    <row r="68" spans="1:6" x14ac:dyDescent="0.3">
      <c r="A68" t="s">
        <v>191</v>
      </c>
      <c r="B68" s="1" t="e">
        <f>VLOOKUP(A68,Censo_2000!A:L,12,FALSE)</f>
        <v>#N/A</v>
      </c>
      <c r="C68" s="1" t="e">
        <f>VLOOKUP(A68,'2010_consolidado'!A:D,4,FALSE)</f>
        <v>#N/A</v>
      </c>
      <c r="D68" s="1">
        <f>VLOOKUP(A68,Censo_2022!C:G,5,FALSE)</f>
        <v>1670.5</v>
      </c>
      <c r="E68" s="14" t="e">
        <f>(C68-B68)/B68</f>
        <v>#N/A</v>
      </c>
      <c r="F68" s="14" t="e">
        <f>(D68-C68)/C68</f>
        <v>#N/A</v>
      </c>
    </row>
  </sheetData>
  <autoFilter ref="A1:F1" xr:uid="{C60CDA30-03DE-4E58-9AD1-D02D5413FE09}">
    <sortState xmlns:xlrd2="http://schemas.microsoft.com/office/spreadsheetml/2017/richdata2" ref="A2:F68">
      <sortCondition descending="1" ref="D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Censo_2022</vt:lpstr>
      <vt:lpstr>Leg_2022</vt:lpstr>
      <vt:lpstr>Censo_2010</vt:lpstr>
      <vt:lpstr>2010_consolidado</vt:lpstr>
      <vt:lpstr>Leg_2010</vt:lpstr>
      <vt:lpstr>Censo_2000</vt:lpstr>
      <vt:lpstr>Compilado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Delvaje</dc:creator>
  <cp:lastModifiedBy>Gabriel Delvaje</cp:lastModifiedBy>
  <dcterms:created xsi:type="dcterms:W3CDTF">2015-06-05T18:19:34Z</dcterms:created>
  <dcterms:modified xsi:type="dcterms:W3CDTF">2026-08-10T10:18:27Z</dcterms:modified>
</cp:coreProperties>
</file>